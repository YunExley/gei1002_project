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er\Desktop\NUS\Uni\Y2\sem 2\GEI1002\grp project\"/>
    </mc:Choice>
  </mc:AlternateContent>
  <xr:revisionPtr revIDLastSave="0" documentId="13_ncr:1_{949563F1-A03F-4EA9-9F65-FC8AFB452110}" xr6:coauthVersionLast="47" xr6:coauthVersionMax="47" xr10:uidLastSave="{00000000-0000-0000-0000-000000000000}"/>
  <bookViews>
    <workbookView xWindow="-108" yWindow="-108" windowWidth="23256" windowHeight="12456" activeTab="1" xr2:uid="{3FCFFBBE-B15F-45D9-901C-0AD0A26B0457}"/>
  </bookViews>
  <sheets>
    <sheet name="Public_SA" sheetId="14" r:id="rId1"/>
    <sheet name="Private_SA" sheetId="15" r:id="rId2"/>
    <sheet name="Public_raw" sheetId="9" r:id="rId3"/>
    <sheet name="Private_raw" sheetId="10" r:id="rId4"/>
    <sheet name="Statistics" sheetId="11" r:id="rId5"/>
    <sheet name="SGH" sheetId="8" state="hidden" r:id="rId6"/>
    <sheet name="NUH" sheetId="1" state="hidden" r:id="rId7"/>
    <sheet name="TTSH" sheetId="2" state="hidden" r:id="rId8"/>
    <sheet name="CGH" sheetId="4" state="hidden" r:id="rId9"/>
    <sheet name="MEH" sheetId="3" state="hidden" r:id="rId10"/>
    <sheet name="MAH" sheetId="5" state="hidden" r:id="rId11"/>
    <sheet name="MENH" sheetId="6" state="hidden" r:id="rId12"/>
    <sheet name="GH" sheetId="7" state="hidden" r:id="rId13"/>
  </sheets>
  <definedNames>
    <definedName name="_xlnm._FilterDatabase" localSheetId="3" hidden="1">Private_raw!$A$1:$F$1</definedName>
    <definedName name="_xlnm._FilterDatabase" localSheetId="1" hidden="1">Private_SA!$A$1:$E$1</definedName>
    <definedName name="_xlnm._FilterDatabase" localSheetId="2" hidden="1">Public_raw!$A$1:$F$1</definedName>
    <definedName name="_xlnm._FilterDatabase" localSheetId="0" hidden="1">Public_SA!$A$1:$E$1</definedName>
    <definedName name="_xlnm._FilterDatabase" localSheetId="5" hidden="1">SGH!$A$1:$C$51</definedName>
    <definedName name="_xleta.MI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1" l="1"/>
  <c r="G8" i="11"/>
  <c r="G7" i="11"/>
  <c r="G6" i="11"/>
  <c r="G5" i="11"/>
  <c r="G4" i="11"/>
  <c r="G3" i="11"/>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21" i="10"/>
  <c r="F20" i="10"/>
  <c r="F19" i="10"/>
  <c r="F18" i="10"/>
  <c r="F17" i="10"/>
  <c r="F16" i="10"/>
  <c r="F15" i="10"/>
  <c r="F14" i="10"/>
  <c r="F13" i="10"/>
  <c r="F12" i="10"/>
  <c r="F11" i="10"/>
  <c r="F10" i="10"/>
  <c r="F9" i="10"/>
  <c r="F8" i="10"/>
  <c r="F7" i="10"/>
  <c r="F6" i="10"/>
  <c r="F5" i="10"/>
  <c r="F4" i="10"/>
  <c r="F3" i="10"/>
  <c r="F2" i="10"/>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 i="9"/>
  <c r="C12" i="11"/>
  <c r="C11" i="11"/>
  <c r="B12" i="11"/>
  <c r="B11" i="11"/>
  <c r="C10" i="11"/>
  <c r="C9" i="11"/>
  <c r="C8" i="11"/>
  <c r="C7" i="11"/>
  <c r="C6" i="11"/>
  <c r="C5" i="11"/>
  <c r="C4" i="11"/>
  <c r="B10" i="11"/>
  <c r="B9" i="11"/>
  <c r="B8" i="11"/>
  <c r="B7" i="11"/>
  <c r="B6" i="11"/>
  <c r="B5" i="11"/>
  <c r="B4" i="11"/>
  <c r="C3" i="11"/>
  <c r="B3" i="11"/>
  <c r="F9" i="11" l="1"/>
  <c r="B13" i="11"/>
  <c r="F8" i="11"/>
  <c r="F7" i="11"/>
  <c r="F6" i="11"/>
  <c r="F5" i="11"/>
  <c r="F4" i="11"/>
  <c r="F3" i="11"/>
  <c r="C13" i="11"/>
</calcChain>
</file>

<file path=xl/sharedStrings.xml><?xml version="1.0" encoding="utf-8"?>
<sst xmlns="http://schemas.openxmlformats.org/spreadsheetml/2006/main" count="3661" uniqueCount="593">
  <si>
    <t>I gave birth not too long ago, in late July 2024 (Dragon Year). The hospital was extremely busy at that time. When I was admitted, I was placed in the delivery standby area rather than the delivery suite. My gynae appeared to be managing two other deliveries at the same time, and I felt that my case was not given sufficient attention. I also felt that my labour was prolonged through slow induction, without proper monitoring or an early scan to assess my baby’s position. At 39 weeks pregnant, I experienced bleeding and was admitted through A&amp;E. No scan was performed initially. I was advised to induce, as it was said that my water bag had broken and there was a risk of infection. I underwent two rounds of induction, followed by approximately 10–16 hours on an oxytocin drip. Despite nearly 30 hours of labour (including two attempts at anaesthesia), I was still unable to dilate. Only after almost 30 hours did the medical team finally perform a scan. It was then discovered that my baby was in an unfavourable position, which explained why I could not dilate. By that time, my baby had passed motion in the womb and developed meconium due to stress. I eventually had to undergo an emergency C-section under private rates, while still being billed for natural delivery. I was also given continuous antibiotics while I was still pregnant, which raised concerns for me regarding the impact on my baby. After birth, my son’s tongue tie and lip tie were not identified. He later underwent a tongue-tie procedure under general anaesthesia at NUH, but during the surgery, the lip tie was still not noticed. As a result, he now has to undergo a second procedure for the lip tie. When he was an infant, I experienced significant pain while breastfeeding, but I was repeatedly told that it was “normal” without any proper checks being done to assess for tongue or lip tie. I was seeing a NUH gynae under private rates, and my gynae was Dr Chua Tsie Meng. While some nurses were kind and supportive, I also encountered unprofessional and rude behaviour from certain staff members, including being given unpleasant attitudes. Overall, my experience with NUH’s maternity and paediatric care was unsatisfactory. I do not understand why a scan could not be done upon admission and instead was delayed for almost 30 hours, leading to unnecessary prolonged labour and an emergency C-section. Based on my experience, I would personally not choose to deliver at NUH again.</t>
  </si>
  <si>
    <t>My mom was admitted to ward 43 state AOL. Through out her stay my mum been monitored closely. The nurses n doctors doing their very best and the service is good. But too bad cannot have a quick shower for the caregiver as we not allow to use patient toilet. Where else the public toilet no shower area. My mom showed much improvement and trf to general ward no more under AOL where it makes us families relief as we not ready to let her go just yet. Thank you doctored and nurses of ward 43 and those attend to bed 45. From 22/2-26/2/26. Now mum trf to ward 44 ..and soon to 1 bedder if there's a slot.. Thank you for the good services.</t>
  </si>
  <si>
    <t>I am extremely thankful to Dr. Vanaja, who I truly feel was nothing less than a god-sent during my delivery. Especially as a first-time mother, her guidance, reassurance, and presence at the most crucial moment meant everything to me. She is incredibly empathetic, calm, and understanding, and her words gave me immense confidence when I needed it most. Because of her, my delivery experience felt safe, positive, and smooth. Although Dr. Vanaja came in specifically for the delivery, from the very beginning and throughout the long hours before that, the nursing and medical team supported me exceptionally well. Mai Foong, Eng Sin, Shao Hung, Dr. Caitlin, Sossany, and Mary Stella (night shift nurse) encouraged me continuously, guided me patiently, and ensured I was never alone or fearful. A special heartfelt thank you to Mary Stella, whose night-shift care, kindness, and constant encouragement helped me through some of the toughest moments, and to the doctor who administered the epidural so smoothly and professionally. This entire team worked together with such compassion and dedication, and because of them, I had a truly smooth and memorable delivery. I will always be grateful for their care and support, and I highly recommend them to all expecting mothers, especially first-time moms. 🌸 Not forgetting their food was of great taste too.</t>
  </si>
  <si>
    <t>Compliments for Staffs from NUH: PSA Ms. Siok Ling from Counter Staff-Urology (spoken via phone call) Personality: Great sense of urgency, Provides immediate option of Appt dates &amp; time suggestion, very helpful, friendly Professionalism: 10/10 Nurse Ms. Jackie from Urology Department (met in person) Personality: Helpful, Kind, Warm, Friendly, Patience, Well-Experienced Professionalism: 10/10 Visited NUH Urology dept via Appt on 22/01/26, for my mum due to infection. Feeling thankful and greatly appreciated the above staffs for rendering your exemplary service! Keep up the great work!</t>
  </si>
  <si>
    <t>Hello everyone I have appointments two today so I left my about 11.00 am with my mother because I frist appointment at 12 pm that is BIMD SPINE AND HIP AT Level 4 Medical center that finished. Now I m waiting for my another appointment at 13.30 pm at level 13 medical center the same medical center but the level is different now only doctor came I still waiting for my doctor I just finished waiting for my MC. The nurse's &amp; doctor's are very friendly and very kind. It wheelchair accessible it seems young I was seens by all the doctor there the doctor know me very well ❤️</t>
  </si>
  <si>
    <t>Our 2.5 year old daughter was hospitalised for more than a week, for the extremely rare Kawasaki Disease at NUH back in October last year. My husband and I are still so grateful and impressed by the entire care team of the paediatric department, including the nurses who were so sweet and kind towards her (even though our daughter kept crying every time they approached her). They took such great care of our sick daughter and really reassured us as parents amidst that difficult period of time, all the way from the beginning (i.e. triage at children’s A&amp;E) to the end (i.e. outpatient follow-up appointments to clear her heart of long-term complications). Even though my husband is medical and I am not, the doctors always made sure I fully understood what was going on (in layman terms) with our daughter and never made me feel left out, which was something I truly appreciated. As such, we would like to give a shoutout particularly to this team of doctors, comprising of: Dr Seo from children’s emergency who picked up on KD early and helped our daughter get the necessary treatment in time; Dr Deepan, Dr Elizabeth, Dr Rie and Dr Pauline from the Paeds department who took such great care of our daughter throughout her hospitalisation even when she got extremely cranky, and finally Dr Qiao Zhi from the paediatric cardiology department who even slotted our daughter’s follow-up echo scan when his schedule was already full, so that she could be taken off her steroid medication earlier. I’ve always been inclined towards private healthcare, but witnessing the competence, passion and love this team of doctors have for their jobs and the children whom they serve completely changed my mind towards public healthcare. 🤍</t>
  </si>
  <si>
    <t>Our family would like to express our heartfelt gratitude and deepest appreciation to all the medical and support staff at National University Hospital (NUH). Our daughter was admitted through the Emergency Department on the morning of the 6th this month and stayed for four days. What began as an incredibly stressful and frightening time for our family was gently eased by the professionalism, compassion and warmth shown by every member of the NUH team. Because of you, those difficult days became ones filled with reassurance, trust and quiet strength. Our sincere thanks go to the Emergency Department doctors, nurses and front-desk staff; the ward doctors, allied health and nursing teams; all healthcare professionals and medical social workers; the medical students, nursing trainees and healthcare assistants who came through the ward; the meal service and housekeeping teams working diligently behind the scenes; the staff at Zone F Visitors Registration and PSA; as well as the Discharge Lounge team. From admission to discharge, not once did we feel overlooked or unattended. Every interaction was met with patience, professionalism and genuine kindness. In our most anxious and vulnerable moments, you cared not only for our daughter’s medical needs, but also for the emotional well-being of our entire family. Your calm reassurance, gentle words and thoughtful attention meant more to us than we can fully express. We truly experienced NUH as more than a hospital of outstanding medical expertise — it is a place filled with humanity, compassion and heart. To witness such consistent excellence, dedication and kindness across every department is deeply moving. The standard of care we received stands proudly alongside, and even surpasses, many private healthcare experiences. In the midst of urgency and emotional stress, we regret that we were unable to note down every name to thank each of you personally. Please accept our sincere apologies, along with our heartfelt appreciation to every staff member who cared for our daughter — whether seen or unseen. Thank you for caring not only for patients, but also for the families who stand beside them. Your professionalism, dedication and kindness will remain in our hearts long after discharge. May you always be blessed with strength, smooth days at work, good health and happiness in life — just as you bring comfort, hope and healing to so many families each day.</t>
  </si>
  <si>
    <t>I would like to give a big thank you to the nurses in Ward 6A. They are incredibly patient, professional, and kind. Their care and dedication truly make a difference. Also I would like to compliment Cheong Yee Henn from the X-ray Department. He service and caring attitude really made me feel comfortable, and he always had a smiling face.</t>
  </si>
  <si>
    <t>I underwent an IVF procedure at NUS in September, during which only egg retrieval and egg freezing were performed. However, I was charged for intracytoplasmic sperm injection (ICSI) and embryo creation, even though no embryos were made. This was very confusing to me. In addition, on 15 December, I did not have any doctor consultation or appointment, yet I was still charged a doctor consultation fee. I only noticed this issue after reviewing the billing statement. I hope the hospital can improve the accuracy and transparency of its billing system, and ensure that charges correctly reflect the actual medical services provided. I would also appreciate a clear explanation and correction of these charges.</t>
  </si>
  <si>
    <t>Im Impress with the ward food server Mr Johnny. He knows im not vegetarian and tried his best to find me food replacement with meat while the nurse whom ordered vegetarian just ignored my feedbacks. Mr Johnny is very positive and kind person who will go extra miles for any people in need. Such nurse who dont have any passionate in taking care of patients please dont enter this kinda industry. I really hate to see those nurses works for money but no passion.</t>
  </si>
  <si>
    <t>Happened four years ago, but now that I’m days away from delivering my third baby—at a different hospital—I can’t stop thinking about the traumatic delivery of my second child at NUH. Need to get it off my chest. My overall experience with NUH O&amp;G had been difficult. Clinic waiting times were extremely long; even with morning appointments, you could expect to be there until late afternoon. The PSAs were often unfriendly, and I was led to believe that this was simply how public hospitals in Singapore operated. Only after switching hospitals did I realise how untrue that was. In September 2021, my water broke around 8am and contractions started soon after. My husband called the NUH delivery ward and was told to come down immediately. Five minutes later, a doctor from the O&amp;G clinic called me directly and said I needed to stop by the clinic first before going to the delivery ward. No explanation was given. We arrived around 9am. Because I had no scheduled appointment, I had to explain to an unfriendly PSA that a doctor needed to see me. Despite the hospital knowing I had already called the delivery ward and was in labour, I was not prioritised. I waited close to an hour while my contractions intensified. When I was finally seen, it wasn’t by the doctor who had called me. I told the attending doctor I was in labour, but he barely acknowledged me and instructed his male resident to examine me. I was not asked if it was OK. The resident said I was 4cm dilated and that there was meconium leaking. Despite this, I was sent back out to wait because the delivery ward was “full.” I was still not yet told why I had been called to the clinic in the first place. Things quickly got worse. The clinic became more crowded, and I was placed on a gurney in the middle of the clinic near the exit. I was in active labour, screaming in pain, yet no one came to check on me. At least once, a PSA came over only to tell me to keep my voice down. Around 11am, a Caucasian female doctor noticed me and immediately intervened. After checking me, she said I was fully dilated and gloved up as she said “I don’t think we’ll make it past the elevator.” During the elevator ride, my baby was crowning. I managed to hold on until we reached the delivery ward, where my baby was born about a minute later—around 11.30am—still not in a proper delivery suite. I was later sent to recovery and given a “free upgrade” to B1 because B2 was full. I never saw the doctor who had called me that morning. The next day, two doctors—the male doctor from the day beforehand and a female gynae I had seen before—came to my room and casually said, “That was quite an experience yesterday.” There was no apology. They then explained that I had been called to the clinic because a test suggested I had ICP and they wanted to discuss inducing me. I was confused since I was already in labour so the trip to the clinic wasn’t necessary. I was 22 then. Now older, I realise I should never have been treated this way. ICP carries a risk of stillbirth. Meconium-stained waters increase infection risk. Yet I was left screaming in pain, ignored, and humiliated. This happened four years ago. I sincerely hope things have changed—because no woman should ever have to go through what I did.</t>
  </si>
  <si>
    <t>Job done but not satisfactorily so. Son was unexpectedly admitted due to an accident and only had his wound properly cleaned two days later. Coordination and communication is sorely lacking between departments. Visitors were misdirected to our ward and ended up walking in circles for up to an hour before they could locate us. The ward nurses who attended to us were particularly attentive and helpful. Shoutout goes to Nurul Aida in Kent Ridge Wing who ensured our discharge process went smoothly.</t>
  </si>
  <si>
    <t>Very very very bad and uncaring hospital. My child was having ear pain and we were waiting for more than 3 hrs. They let all Chinese patients to visit the doctor. We indian and Malay only left back. Worst hospital in the world.no doctors are there. I hate this hospital. I felt like going back home. But my husband wanted to stay back as my son may get ear pain. I will never come back to this hospital. Why are you even running a public hospital without any doctors for children emergency. It is brutal. Why you even call yourself world ranking hospital.</t>
  </si>
  <si>
    <t>I would like to express my heartfelt appreciation to the doctors and nursing staff of Ward 20, NUH for the excellent care given to my daughter Siti Nur'Ain throughout her stay From admission to discharge, the doctors were professional, attentive, and reassuring. The nurses were exceptionally kind and caring, ensuring my daughter’s comfort and well-being at every stage. Their patience and gentle approach made a big difference to us. A special mention of gratitude to the nurse, Ms Geewa who personally accompanied us all the way to the taxi stand upon discharge. This thoughtful gesture truly reflects the team’s dedication and compassion. Thank you once again to all the doctors and nurses of Ward 20 for your professionalism, kindness, and outstanding care. Your dedication has given us great comfort and confidence during a challenging time.</t>
  </si>
  <si>
    <t>I recently had a laparoscopy done by Dr Elaine Hong. It was done so well and just one week after, I feel great! I was in so much pain every day and to now feel no pain at all feels so surreal. The care and concern she showed me was very comforting and her gentle manner is reassuring. With doctors like these, we can be rest assured that we are in safe hands. Another person I would like to thank is my anaesthetist Dr Simone. I was a nervous wreck at the operating theatre and she was so amazing at calming me and putting me at ease. She came to check on me after the surgery and remembered the tiny details I had shared with her before. A shout out to all the nurses who cared for me during my entire stay there as well. Overall, NUH is a wonderful hospital with an incredible team who go above and beyond their line of duty to give you the best service possible. Ward 2A bed 26 will be an unforgettable and pleasant memory for me</t>
  </si>
  <si>
    <t>Had a kind of bad experience there. Went to visit a relative, can’t remember the ward number, I think level 5 but bed 21, two nurses (1 male and 1 female) were there. Both of them were chit chatting and laughing loudly at the ward. One of them even used vulgar language when interacting with the other nurse. Isn’t hospital ward supposed to be quiet so that patients can rest? They were happily chit chatting and talking louder than the visitors and patients. Wonder how much good standard of care can they provide to the patients there.</t>
  </si>
  <si>
    <t>This is for the ortho dept. Mr. JOHN RUIZ and the clinic nurse, very poor patient centricity, quickest examination, less than 4 mins, very dismissive of questions, wanted my husband out the door asap. Made a formal complaint to NUH about our experience today.</t>
  </si>
  <si>
    <t>Having had previous experiences with NUH A&amp;E and wards, I am disturbed by the apparent lack of care and attention afforded to my mother during her recent stay in ward 42. The usual wait of 24 hours or more for a bed allocation was finally followed by her transfer to the ward at approximately 4:30pm. Upon my arrival at 7:30 pm, I was dismayed to find that her dinner had been served, but not fed to her (she is a stroke patient requiring assistance). Additionally, she was still clad in the A&amp;E attire, and other crucial aspects of her care seemed overlooked (her drip, medication still on the table, etc.). Nevertheless, I would like to acknowledge and commend Dr. Pierre for his meticulous explanation of my mother's condition, his patience in addressing my concerns, and his consistent reassurance throughout. Thank you.</t>
  </si>
  <si>
    <t>I recently underwent an artificial disc replacement surgery at NUH Hospital with Dr. Hwee Weng Dennis Hey and team. I couldn't be more pleased with the outcome.
Dr. Hwee Weng Dennis Hey
did an excellent job, resulting in a beautiful wound, minimal pain, and a faster recovery than I anticipated. The nursing staff at NUH provided exceptional care throughout my stay, and I am truly grateful for their professionalism and support.</t>
  </si>
  <si>
    <t>My wife and I had the privilege of being under the care of Dr. Pradip Dashraath during our pregnancy journey at the National University Hospital. We cannot speak highly enough of his exceptional care and expertise. From our very first consultation, Dr. Dashraath impressed us with his professionalism and genuine empathy towards pregnant women. He consistently went above and beyond to ensure the well-being of both mother and baby. His ability to provide thorough explanations, address concerns, and guide us through each stage of the pregnancy was truly remarkable. What sets Dr. Dashraath apart is his dedication to motivating and empowering pregnant women to follow proper health practices until delivery. His genuine interest in their well-being extends beyond medical advice, as he takes the time to discuss emotional and mental health, providing guidance and support for a holistic approach to pregnancy care. Dr. Dashraath's expertise in Maternal Fetal Medicine is evident in his personalized recommendations tailored to our specific needs. He possesses a comprehensive understanding of complex medical information and explains it in a clear and accessible manner, allowing us to make informed decisions with confidence. Furthermore, Dr. Dashraath's accessibility and prompt communication made us feel valued and supported throughout our pregnancy journey. He goes above and beyond to ensure the well-being of his patients, both within and outside the clinic. We are immensely grateful for the exceptional care provided by Dr. Pradip Dashraath. His professionalism, expertise, and compassionate approach have made a significant positive impact on our pregnancy experience. We highly recommend him to expectant mothers seeking outstanding care.</t>
  </si>
  <si>
    <t>Every day when I go to the hospital, I have to wait for the elevator for nearly 20 minutes. There are many elevators, but only 2 or 3 of them work. And when I wait to get medicine, it's been more than an hour and my turn hasn't come yet. Meanwhile, my number came first, but people who came later were received before me. In short, I wouldn't recommend it here.Is worsted</t>
  </si>
  <si>
    <t>Finding myself in need of medical care during my travels was a daunting experience, but National University Hospital quickly put my worries to rest. From the moment I arrived, I was greeted with compassion and professionalism from the hospital staff. The state-of-the-art facilities and advanced medical technology ensured that I received the highest quality care possible. What's more, the government subsidies made healthcare services more accessible and affordable, easing the financial burden during a stressful time. Thanks to National University Hospital, I was able to focus on my recovery with confidence, knowing that I was in good hands.</t>
  </si>
  <si>
    <t>was at the Rehabilitation Centre Reception A this afternoon at 3:20pm 8/4/25. the lady at counter 1 shouted across the room over the kiosk at the corner, towards us. Instead of shouting at us, can't she approach and tell us?? Her butt stick to the chair issit? Very inconsiderate and rude! Pls do something about the staff here, thank you.</t>
  </si>
  <si>
    <t>Staff is great, awesome. But the place for A class ward. Aircon down. Light spoil.</t>
  </si>
  <si>
    <t>I first came here on the evening of December 22, 2025. The medical staff were very dedicated and guided me thoughtfully, especially since I am a foreigner with limited communication skills. Thank you very much.</t>
  </si>
  <si>
    <t>Very bad overall. Warded on Saturday night and schedule for a knee operation which as they deem lower priority, I'm kept waiting indefinitely and fasting in 6 hours interval in case a slot opens up. Earlier this morning, they told me there were 5 patients in the queue before me, and no doubt newer emergency cases may also happen. It is now been 24 hours since I last ate and drank. After complaining about my gastric issue, the doctor allowed only tea and apple juice then restarting another 6 hours of fasting. Just after I finished the juice, they told me I could go into surgery. After rushing to the bathroom, they told me they made a mistake and I have to wait again since I drank something.... Is this not just horrible protocol, training management and scheduling or what? They just depriortise deemed "minor" cases all the time while not possessing the ineptitude to assess when a waiting surgery patient can eat in between observing the 6hr fasting. One star for the staff in my ward who tried their best to comfort me and were so apologetic. Do not admit here unless you have to and doesn't question your self-value...</t>
  </si>
  <si>
    <t>One of the better hospitals to visit. Modernised look and not too crowded. Don't be fooled by the negative comments. Waiting time is always about demand and supply, and you don't know what is going on behind the scene or what concurrent duties frontline staff are facing. Hospital is constantly promoting digitalisation and more opportunities to speed up transaction time. I was happy enough to use the payment kiosk machine, without the need to queue u at the counter.. Lovely! Completed my app payment transaction within 2 mins!! Brilliant!!</t>
  </si>
  <si>
    <t>Went to the lumbar and spine clinic for a back pain which I suspected to be a bulging disc. Told the doctor all of my symptoms, saying its a pain that I've had for a long time and feels like it comes from a nerve instead of muscle. Doctor simply wrote it off as a back sprain, gave me physiotherapy and denied me an MRI, saying it was "protocol" and I had to come back in 3 months just to finally get the MRI. Not sure why but every time I brought up my back pain it was always dismissed as a sprain... I even asked the doctor of the possibility of a disc injury and he said the x ray does not show any signs of it (a quick Google search immediately states that X rays can't detect disc damage) I insisted on an MRI as i had back sprains before and this one felt different but the doctor refused to give me an MRI at all. Got tired of waiting and went to CGH because they were supposedly faster. First consultation there and they immediately gave me an MRI appt and suspected it was something more serious than a mere sprain. 2 months later after the MRI its confirmed to indeed be a bulging disc. Baffled by this protocol of needing to wait 3 months just to be able to give their patient an MRI... Honestly I'm just gonna go CGH for future issues because these waiting times and lack of concern for their patients is awful.</t>
  </si>
  <si>
    <t>I was rushed to NUH by ambulance for a back injury. All 25 days were made amazing by the staff. They were kind, and helped a lot. Thanks Ward 9B!</t>
  </si>
  <si>
    <t>Endoscopy centre zone c 04-03 noisy noon time. Staff chatting and laughing loudly. Patient family waiting have no piece of mind.</t>
  </si>
  <si>
    <t>Recently my child admitted to NUH. Was being brought here due to seizures by ambulance. Even though we are worried, panic and speechless with what is happening, the nurses and doctors here are very patient, kind, helpful and they did great. They really been there for us , answer all our questions with a good explaination ,ensuring everything will be okay .All the explaination are all clear, leaving us with less worries. From ambulance, kids emergency, registering admit to ward, discharge procedure to pharmacy, everything goes smoothly and well. Every 4 hours there's always someone who will look out in the ward , if we need anything they will be there. NUH have been a great hospital ,good experience. Highly recommended. Overall, kuddos to the nurses and doctor here. This time we are in Ward 47. Thank you so much for ensuring everything is good, it is much appreciated after all the worries we had faced. 🤍🤍🤍</t>
  </si>
  <si>
    <t>I'm disappointed with the level of professionalism I recently experienced in the A&amp;E department. The communication from the team was minimal and unclear. I also found some staff members to be rather unfriendly, which added to the stress of the situation. I hope the hospital addresses these issues to improve patient experience. A more compassionate and communicative approach would greatly benefit everyone.🙏😔</t>
  </si>
  <si>
    <t>We delivery our 2nd boy here, thanks for the doctor and nursing professional service, their advise is friendly and they are aware almost what we need through out the process. Proud of my son to be NUH baby boy.</t>
  </si>
  <si>
    <t>I had to pay 200€ to see a doctor that gave me the wrong antibiotic and told me I wasn't sick and could have diarrhea my entire life. Furthermore, he didn't want to give all the papers I needed to get reimbursed from my insurance and I had to wait hours to finally get them. Go to Kuala Lumpur they have much better service</t>
  </si>
  <si>
    <t>I am deeply grateful for the exceptional care my baby, wife, and I received at NUH Ward 48 during my wife’s six-day stay. Every member of the team, from doctors and nurses to the cleaning staff, was consistently kind, professional, and attentive throughout our time there. I would especially like to commend Nurse Nur Safwanah for her outstanding dedication and patience. No matter what we needed, she was always there with thorough, thoughtful assistance. Her expertise in caring for both mother and baby was evident, and she treated every patient with the same warmth and professionalism. Nurse Safwanah’s compassionate care made a world of difference during my wife’s recovery, and I’m truly thankful for everything she did for us. On our last day, we were fortunate to meet two other nursing angels from the same ward: Nurse Chen Szu-Ting and Nurse Imay. Nurse Szu-Ting patiently guided us through techniques to calm our baby and demonstrated the proper way to handle and care for him. Nurse Imay, with equal warmth and diligence, answered all our questions and helped ease our fears as newly-minted parents. To the entire Ward 48 team, thank you from the bottom of our hearts for the care, comfort, and reassurance you gave us during this important chapter of our lives.</t>
  </si>
  <si>
    <t>The appointment given to me at the Digestive center Zone B level 14 for 18 June 2025 at 10.35am in April was changed to 18 June 2025 at 8.45am today. And the best part is I called the appointment hotline and they don't have my earlier appointment in their record. So now I have to re-schedule my work to accommodate this new schedule because as usual all other timeslots are full. This has happened many times and it looks like they did not make an effort to improve the situation but rather they expect patients to accommodate their timeslot.</t>
  </si>
  <si>
    <t>Went to the ER with acute tonsillitis, Doc Zhang Pei Tang is hands down the best. She was very attentive to my concerns, never frustrated with me (I could barely talk), and explained everything to me in simple words. She also prescribed some medicine as per my request (stronger pain killer), we did and X ray and a shot of pain killer because I asked her if we can as well. So happy to finally have a doctor that listens to patients and takes in account their wishes. Thank you Dr Zhang &lt;3</t>
  </si>
  <si>
    <t>Unless you are dying - they won’t care. Spent 5+ hours in the E&amp;A with a broken/sprained ankle (ah we don’t even know still, what it is) and was denied a CT and MRI. Demanded to talk to the senior doctor a few times - no response. In 5+ hours she didn’t find 5 min to talk to me. But they were so ready to put a cast on my leg. Doesn’t matter, might help, right? I didn’t expect such a level of medicine in Singapore. Not impressed. Disappointed. Two stars - because one of stuff people, who constantly called me sister, was actually nice and tried to help.</t>
  </si>
  <si>
    <t>Accompanied my son to have a first time consultation with Dr Andrew Hong on 01/07/25 for his ankle issue. After Xray done and result back, Dr Hong is very professional and patient in providing clear explanations with illustrations to aids our understanding of my son's ankle condition. A tentative treatment plan was recommended pending on MRI review. We are very pleased with the visit and also witnessed Dr Hong sharing his vast experience and knowledge with his assisting junior Dr.</t>
  </si>
  <si>
    <t>Doctors suck in general, they cancelled my surgery last minute because they "thought" they found another reason why i fell sick about 2 hours before my surgery and "didnt have time to tell me" and when i recovered WITHOUT taking the surgery they told me i could be discharged. On the day of my discharge,right after they took out the iv plug, the doctors suddenly came in and was like "hey, you have bacteria in your blood so like we can let you go yet" i was pissed off so badly because they took my blood almost everyday and only said it on the day i was going to be discharged. They didnt even know waht type of bacteria it was and couldn't answer any of our questions they just kept saying "oh there's bacteria in your blood" and "we need to take more blood and reinsert the iv plug" like ok i heard you for the first time?? In the end when i was discharged, the doctors told me that actually my blood was contaminated so i didn't actually have bacteria in my blood. Honestly the worst doctors i have met. They even had a poster about being the best hospital in 2025🙄🙄 best hospital my ass. My advice is to go somewhere else dont ever come here no matter how far the other hospitals are</t>
  </si>
  <si>
    <t>I WOULDN'T RECOMMEND THIS PLACE AT ALL, especially if your patient is an ELDERLY person and more so if your patient is a FOREIGNER. My experience was with private healthcare. They make a lot of decisions internally without notifying or consulting the patient's kin. Such decisions result in life or death outcomes and unfortunately in my case happened to be the latter, where I have lost my most loved one. They will not disclose any internal decision making. For elderly patients, it's almost as though they make sure the patient doesn't survive. I really don't think they provide the best treatment for someone in need. I don't want anyone else to experience what has happened with me. I don't want someone to lose a loved one due to negligence and bad internal decision making. I know NOTHING can bring my loved one back, but I'll do my part here to make sure no one else experiences this.</t>
  </si>
  <si>
    <t>I am incredibly grateful for the exceptional care Dr. Gabriel Liu Ka Po provided during my son’s scoliosis surgery in January 2025 at NUH. From the moment we met him, his kindness, professionalism, and dedication to his patients were evident. Dr. Liu is not only highly skilled but also incredibly thorough in explaining every step of the process, ensuring that we understood the diagnosis and the planned course of action. What stood out most was how he always took the time to answer all our questions and made us feel at ease, despite the anxiety surrounding such a major surgery. His compassionate approach and deep knowledge instilled a sense of trust that was invaluable during this time. Thanks to his expertise and meticulous care, my son is now on the road to a full recovery. We are forever grateful for the positive impact he’s had on our lives, and we wholeheartedly recommend him to anyone facing similar health challenges. Dr. Liu, I pray that you are always blessed with health, wealth, and happiness. Thank you once again for everything. Warmest Regards, GH &amp; Mom</t>
  </si>
  <si>
    <t>I was asked to go to A&amp;E by my GP, and there they found a tear in my eye. Dr. Ding Jianbin performed the laser treatment on my retina. Despite his extremely busy schedule, he still managed to do an excellent job. I was lucky the tear was found early, otherwise, it could have worsened into a retinal detachment. A big thank you to Dr. Ding Jianbin and the nurse who stayed back to assist.</t>
  </si>
  <si>
    <t>I am writing on behalf of my cousin. On the 4th of July , we went down to NUH as we have a problem with a bill of his. At the Patient Care Services, a Ms Hartini Binte Oseman (Employee ID 50205381) served us. We related to her what problem my cousin was facing with his bill and Ms Hartini was very friendly and helpful in letting us know how she would help us. Even as we spoke about the problem, we ended up having a bit of a chat. Her cheerful demeanor actually lessened the stress my cousin was having as his father had passed away unexpectedly recently. When Ms Hartini said she would expedite the problem to the relevant department, we did not expect them to get back to us on the very same day! Credits to the relevant department as well for the swift handling of the matter! Ms Hartini is a very good example of what great customer service is, and what NUH needs ! Once again, thank you for your help Ms Hartini!</t>
  </si>
  <si>
    <t>I've doubts why NUH is even called ' the World's best hospitals'. Had a bad experience when my elderly Father was admitted. First he was at AMU, then went to the normal ward and stayed for 1 more week. Throughout whole stay, I've never spoken to the doctor in charge Dr Vidhya (Geriatric). Instead it was a MO Dr Hong Anjin who called me once every few days to update. I wasn't made known the cause of his high fever which was he was admitted for. There is so poor engagement fr an actual Doctor to the extent I don't feel there is sense of care/responsibility from her at all.</t>
  </si>
  <si>
    <t>I would like to recommend Sarah Tan from FHM (Hand Dept) for her caring and professional attitude. She took the extra steps to call me to reschedule my hand appt to earlier date, which was hurting me badly. Thanks Sarah and appreciate your kindness.</t>
  </si>
  <si>
    <t>AMU 1 ward nurse service need more improvement. Nurses did not gave the right amount dosage of medication without reading the medication package and cause get more watery diarrhea. For PEG drink and fasting also did not inform early of the timing properly, without unknowingly I thought I can drink and eat but after when I started they last minute then tell cannot and wanted to throw away my bough food and drink instead of putting aside of my food and drinkk. This abit unprofessional, as firstly is not my fault, the nurses should inform early to avoid wastage of food and drink. This looks so inexperiece as who will knows if this is the patient first time doing scope or scan. I hope there are no more such incident and I feel very unhappy as sick patient, alreadt sick still have all these this experiences.</t>
  </si>
  <si>
    <t>Nurse Beauty from ICU is very unprofessional and is out right scolding her colleagues when i visited my relative. Someone should seriously rectify her bad behaviour as a senior nurse. Truly disappointing. Management needs to review.</t>
  </si>
  <si>
    <t>Follow up MRI appointment for my mom. My mom followed the instructions to fast for 6 hours before the scan only to know that her scan is cancelled when arrived at diagnostic centre this morning . Doctor called to explain she cancelled the scan last Friday but admin team failed to update us. Please understand my brother has to take leave from work to accompany her. In conclusion, my mom starved for nothing and my brother wasted his time, leave and taxi money for nothing. Nuh customer service/admin, we need an explanation.</t>
  </si>
  <si>
    <t>a year ago</t>
  </si>
  <si>
    <t>9 months ago</t>
  </si>
  <si>
    <t>11 months ago</t>
  </si>
  <si>
    <t>8 months ago</t>
  </si>
  <si>
    <t>10 months ago</t>
  </si>
  <si>
    <t>3 years ago</t>
  </si>
  <si>
    <t>5 months ago</t>
  </si>
  <si>
    <t>7 months ago</t>
  </si>
  <si>
    <t>4 years ago</t>
  </si>
  <si>
    <t>3 months ago</t>
  </si>
  <si>
    <t>4 months ago</t>
  </si>
  <si>
    <t>2 years ago</t>
  </si>
  <si>
    <t>6 months ago</t>
  </si>
  <si>
    <t>2 months ago</t>
  </si>
  <si>
    <t>a month ago</t>
  </si>
  <si>
    <t>Mum just passed on, was waiting for lift to head down for some fresh air.
Went into a lift and stood at the very end of it, was shouted by a AMS staff pushing a patient that's about 40YO to MOVE in when I was already in the very end.
I don't get it, I'm already at the very end of the lift, why shout and not talk nicely?
He went on to mutter in malay "babi"
Why serve or work in a hospital setting and have this kind of attitude or rage against visitors?
Have we even done anything wrong against you for you to call us a pig?</t>
  </si>
  <si>
    <t>4 weeks ago</t>
  </si>
  <si>
    <t>a month ago</t>
  </si>
  <si>
    <t>brought my mum for an eye consultation and was quite disappointed with the overall experience. The waiting time was extremely long. We had to wait to see the doctor, then were sent for tests, and had to queue again to see him. This process happened multiple times, which resulted in a lot of unnecessary waiting.
It felt very inefficient and was especially tiring fir patients. the workflow needs serious improvement. A better appointment system and clearer coordination would help save patients’ time.</t>
  </si>
  <si>
    <t>I was admitted to TTSH referred by Kallang polyclinic to get further checks. Warded to 7B59 on 2nd of Jan,2026, All nurses and personnels I encountered are very kind and patient with me, took great care of well being. 100% appreciation from my heart.</t>
  </si>
  <si>
    <t>My mom was admitted to the emergency department and while the doctors inside the ward were professional and helpful, the staff outside (registration, information counter, and security) were extremely disappointing. No one informed me that I needed a visitor wristband when I entered with my mom. When I briefly stepped outside and tried to come back in, security stopped me and started shouting that I needed a wristband. When I explained no one had given me one, she just told me to “figure it out” myself instead of helping. I then went to the information counter to ask for assistance and was met with attitude. I also asked for a face mask to be respectful of the hospital environment and was told visitors have to buy one. When I questioned this, the staff member raised his voice and dismissed me before I even finished speaking. For a hospital, the lack of basic guidance and professionalism from frontline staff is very disappointing. They are the first point of contact and should be setting a good first impression for patients. Visitors accompanying patients should be treated with basic respect and given clear instructions. And what kinds of hospital makes people buy face masks? Is the money they’re making off patients not enough? Every other hospital I go to regardless if I’m not a patient they give a face mask. TTS is cheap!</t>
  </si>
  <si>
    <t>Absolutely appalling experience at Tan Tock Seng Hospital A&amp;E.
We were told the next of kin had to bring the patient’s medication from home. Isn’t the hospital supposed to provide the necessary medication? What exactly is the purpose of HealthHub by MOH and all the talk about integrated healthcare systems if the hospital still asks families to run back home to collect medicine?
Can’t the doctors and staff see the patient’s medical history, prescriptions, and conditions in the system? Isn’t that what an integrated national healthcare record is supposed to do?
On top of that, the A&amp;E doctors were nowhere to be seen when it came to speaking with the next of kin about the patient’s condition. We were literally waiting just outside A&amp;E, yet no one came out to explain anything. Are the doctors too shy to face the family? Or is basic communication with worried family members no longer part of patient care?
Very disappointing experience. The lack of coordination, transparency, and communication is shocking for a major hospital like this. Totally speechless.</t>
  </si>
  <si>
    <t>I was/am staying at High Dependancy, now 11B. Doctors and nurses are attentive to my needs. Cleaning staff ensure place is clean and sanitised daily. I am grateful for all of them because they give me the dignity and steadfastness to soldier on during this journey. TTSH is also a place that provides rest areas for patient’s caregivers by providing spaces to rest. I hope TTSH will continue to be a premium hospital for healing. Thank you so much for your dedication in helping patients to heal from their illnesses.</t>
  </si>
  <si>
    <t>My godmother had a procedure done at Tan Tock Seng's Day Surgery Centre (Bed 40) on Thursday 4 Dec 10.30am. I am truly impressed by the level of care and professionalism we received. From the moment I arrived with my godmother, the staff made us feel well-supported and at ease. The nurses: NANCY ALMAZORA MANABAT &amp; RACHEL KOH were patient, attentive, gentle and reassuring, taking the time to explain every step clearly. Thank you so very much, NANCY &amp; RACHEL, for making a huge impact in patients' experience while in your care. Your excellent service made a potentially stressful day feel calm and manageable. We deeply appreciate you both! The doctors were equally outstanding—knowledgeable and genuinely caring. Despite being a busy government facility, everything was well-organised, and the team worked seamlessly to ensure a smooth and comfortable experience. The environment was clean, efficient, and far exceeded my expectations. I’m very grateful to the entire day surgery team for their dedication and compassion.</t>
  </si>
  <si>
    <t>I have very good experience at TTSH. Staff, nurses to doctors are friendly. It impressed me when my father was admitted in 2022 but he passed on. Although my father is a subsidised patient, the treatment we received were nothing different from private hospital or even better than private hospital. Early Nov 2025, I witnessed a polite staff helping others in the lift. And yesterday 27/11/2025, I was wondering around and looked lost, a male staff came forward to offer help. The culture is very good. Dr are polite, too. I don't have similar experience at SGH and all private hospitals. I must give credit to the dr, physio, nurses and staff of TTSH for they patient, kindness, caring, politeness. The culture is very good and they keep improving. Keep it up TTSH!</t>
  </si>
  <si>
    <t>I was neglected and ill-treated in TTSH with room with condensation issues, water leaking from the ceiling caused the corner of the matters soak &amp; wet throughout my entire stay. IV drip was inserted 4 times, they claimed my veins too fine caused the thing dropped out. 2nd IV inserted fluids leak into tissue it was bloated. 3rd IV inserted has burning sensation. Finally got it right the 4th times. Some of the nurses with attitudes, can't be bothered. I was only given dinner on the 2nd day reasons they claimed I should have asked for my meal if I'm hungry. My clothes has stained with milo asked for a new one they claimed it was out of stock. One of the intern doctor got the lumbar spine location and procedure wrong. I need to extend my post hospitalised leave, they told me I should have asked earlier. I'm not sure if anyone able to predict that you need to extend your post hospitalised leave in advance? Treasure your life, don't go to TTSH.</t>
  </si>
  <si>
    <t>My senior consultant Dr Li Hao is a great doctor, he has genuine empathy and concern for his patients unlike his curt and rude female underling Chew Hui Sing. Overall, TTSH has good and caring nurses as well assessing from my stay. They have just one terrible flaw. Waiting time of one hour for medicine, for both outpatient and discharging inpatients. It is truly unbelievable in a bad way. And if the wait time is that long, the registering staff at the pharmacy could have the initiative to warn patient and give the patient a choice whether to pay for the medicine home delivery service. I literally waited for one hour and I could have used that time to have lunch at the mall opposite then come back. Terrible!</t>
  </si>
  <si>
    <t>Staff are nice, polite and helpful. Parking is easy to find. The queue is not bad and can use phone to register and get the queue number it’s very convenient and efficient. The doctor are diligent and caring about your health. I’m happy that I’ve chosen TTSH rather than CGH.</t>
  </si>
  <si>
    <t>Our experience here was absolutely horrid. Was told that we can pick up the patient from day surgery around 8-10am the next day but the call only came at 12pm. When we arrived, they told us that he cannot be discharged?????? Then why did you call us? 3 of us came down, they said that there’s a limit of 2 visitors but we aren’t visitors are we? We’re here to pick him up and go. So nurse told one of us to go collect medicine first at L2 pharmacy. At the pharmacy, registration told us that the doctor ordered duplicates - we were confused, what were we supposed to do with that information? Sat down and waited for more than 1 hour. The whole pharmacy cleared out already except for us. The counter staff kept looking over at us but not a single one asked for our queue number. Until I finally went to ask them and turns out they were waiting to ask the doctor WHY there was a duplicate. The doctor had them on hold for an hour and they didn’t tell us anything. This is so perplexing. I get that its protocol or wtv to confirm again but the lack of communication is crazy. People got their medications and were in and out of the place.</t>
  </si>
  <si>
    <t xml:space="preserve">My mom was admitted to ward 5C, bed 79, due to a fainting spell and resulted in a fall. I was there for 2 days to accompany her. During my time there, I noticed this senior nurse Mdm Lilian wong, imparting and guiding this trainee nurse beside my mom’s bed. She was patient and kind. Then she came to my mom and shared a lot of preventive knowledge to her. Mdm Lilian wong is a very caring, kind and patient lady. You can tell she’s really passionate about her work and truly cares for all her patients - as she will remind them to eat slowly, walk cautiously and etc. Whenever she’s around the ward, solemnity dies from the room, bringing warmth &amp; positivity around her patients. </t>
  </si>
  <si>
    <t>To: all the doctors last Sunday 23/11/25. Around 11.30am Emergency room- thank you guys for taking good care of me, ensuring ill be fine and dont need to worry. To: all the nurse/doctors at level 1A (23 -24/ 11 /2025) Thank you so much taking care of me during my 1night admission. Specially to Carla- assist during my discharge -check my vitals again to ensure im good to go. Few years back, been admitted to differemt hospital- Been to other hospitals too for check ups- but Tan Tock Seng- are the most kind ,helpful and they will listen to you- they will assure you in good hands and theres no need to worry much, from the Doctors and nurse (ward nusre)- very professional.</t>
  </si>
  <si>
    <t>Yesterday I had a CT Scan Appointment. The procedure is very fast. Thank to the nurses who attended to me. Their service is excellent. Take care of me as I m elderly. Good service. Deserve 5 stars</t>
  </si>
  <si>
    <t>I was admitted to TTSH Day Surgery Centre for a procedure on 23 September 2025. From admission to discharge, I was deeply touched by the professionalism, care, and compassion shown by every staff member I encountered. What I expected to be a stressful experience was transformed into a reassuring and comforting one. The team’s gentle words, clear explanations, and genuine concern helped ease my anxieties. I truly felt cared for not just as a patient, but as a person. Over my two-night stay, I also witnessed outstanding teamwork. Each individual brought skill, kindness, and dedication, which gave me complete confidence that I was in the best hands possible. I would like to specially commend Dr Xi Naomi Lee and Dr Shelat Vishalkumar for their dedication and empathy. They not only ensured the success of my procedure but also provided exceptional personal care throughout. My heartfelt thanks also go to Nurse FuYu, Nurse Siti Suhailah, Nurse Sinduja Rajendran, and Nurse Xue Dan, whose attentiveness and compassion were deeply reassuring. They carefully monitored my irregular blood pressure, managed my wound and dressing, and constantly ensured my comfort and well-being. Please extend my sincere appreciation to the entire TTSH Day Surgery Centre team for their outstanding service. I am truly grateful for their professionalism, teamwork, and humanity.</t>
  </si>
  <si>
    <t>Had an ankle ligament and cartilage reconstruction surgery done by Dr Chua Min Jia and stayed at TTSH lvl 3 day surgery observation ward bed 68 for 1 night. Thank you to nurse Siew Tian and mostly the chinese speaking nurses for their patience and care (felt so bad to keep calling them for help when I needed to go to the toilet). Thank you to Dr Gloria Cheng Hui Min (most caring, patient and best doctor ever in a public hospital) &amp; all the team from TTSH Orthopaedics department for being so friendly and kind too. Although TTSH has a reputation of being slow, inefficient etc but there are a select few doctors and nurses who really show their professionalism, care and patience. The TTSH day surgery observation ward at lvl 3 aircon is rather cold, so do bring a jacket 😊</t>
  </si>
  <si>
    <t>Was there on 29/10/25, room 21, Clinic 3A, cardiology/heart consultation after an initial ultrasound a fortnight ago. Specialist's name is listed as Dr Tan Tze-Chin on the door. She was nearly 45mins late, and said she had to be "by her boss's side" for another patient's consultation. She said I needed to understand, as it would not be nice if she was not there in the presence of her "boss". So am I not a patient too? Next, she told (or "warned" me, considering how many times she mentioned it) that she is fully booked until April 2026 and if I wanted to get a more thorough CT scan after my ultrasound, to do it now. Or else.... I will have to wait eons to see her. That's the implication. Questions about my perimenopause as a possibility for my chest pains were ignored. She told me to take a running test if I didn't want a CT, but I had no idea why she had to tell me that people collapse on the treadmill halfway because they can't take it. Again, with her "warning" tone... "I don't know ah, if you can take the machine..." What the? I discharged myself today with a one-year window. She is extremely arrogant and condescending. I told her I don't expect to see you specifically for any follow-ups; I'm also a patient at clinic 4B but whatever specialist who attends to me for my hepatic and gastro issues have always been humble with fantastic bedside manners. I told this "specialist" on duty today that Dr John Tan from the EMT department successfully removed my carotid tumour in 2000 with the utmost professionalism and reassurance, two months after I gave birth to my son. Perhaps she could learn much from him, instead of talking down to patients. Her attitude needs to be addressed.</t>
  </si>
  <si>
    <t>I am still stuck in TTSH waiting for my surgery. I have gone without food for 36 hrs now and still counting. They could not give me the slot for operation and I am at my limit on how much longer could I tolerate this hunger. They think the glucose drip is enough to ease the hunger feeling? This is not how you treat and care for a patient. If you ever need extreme dieting, just come to TTSH.</t>
  </si>
  <si>
    <t>The nurses service 10C Bed 76 were very friendly, caring, and patient. They made me feel comfortable and well taken care of. Thank you for your kindness and dedication.</t>
  </si>
  <si>
    <t>While the nurse and doctor were incredibly patient and explained everything clearly, the nurse in the blood test room was quite insensitive. After multiple unsuccessful attempts to draw my blood, a younger nurse sought help from a more senior colleague. I understand my weight might have contributed to the repeated failures, but I felt that the senior nurse’s comment about my weight and figure, made right in front of me, was rude and unnecessary... nothing wrong to guide the younger ones but hopefully with more respect and sensitiveness towards the patient especially when we are all not feeling well in our ways</t>
  </si>
  <si>
    <t>Was at TTSH emergency on Wed. morning as I felt uneasy and anxious over my recent months’ weight loss issue and decided to consult the doctor to see if there is any way to find out the cause. Waited less than an hour, did ECG and was attended by a kind, caring and patient doctor, Dr Lwin. He listened to and addressed my concerns patiently and recommended the blood tests and x-ray that would reveal the current state of my health. I did ECG, chest x-ray, thyroid and liver blood tests as I have fatty liver. It all turned out well and normal. My trip to the emergency is very worthwhile as it got rid of my anxiety. And the best part is, I met a doctor with positive disposition who spoke to me with kind and encouraging words that calmed my anxiety and made my day a lot better. Thank you Dr Lwin, you are an exceptional doctor and I applaud TTSH for having such a good doctor.</t>
  </si>
  <si>
    <t>Dear PACE Admission Team, I wanted to express my gratitude for all staff for the excellent service ,I received from your staff. Nurse Loh Choy Ling, Poh Bee Lian, and Zhang Yaso were incredibly friendly and helpful. They made my experience so much smoother.</t>
  </si>
  <si>
    <t>From my very first visit, I had signs of infection, but the doctor never prescribed antibiotics. Instead, I was told the pain was due to dryness and was given Premarin. I used about 10 tubes with no improvement. Eventually, I decided to see another doctor outside this hospital and requested a urine test. That test confirmed I had a urinary tract infection, and once I was prescribed antibiotics, the pain finally improved. The lack of proper diagnosis and treatment at TTSH caused me unnecessary suffering for months. I strongly advise others not to rely solely on this hospital and to seek a second opinion if your concerns are not properly addressed. Also the costs of PREMARIN is double the price I paid outside. Now I have changed hospital, not going to trust this hospital anymore.</t>
  </si>
  <si>
    <t>Appreciation for Dr. Teo Hui-En Natalie (Department of Geriatric Medicine) I would like to express my heartfelt appreciation to Dr. Teo Hui-En Natalie from the Department of Geriatric Medicine for her exceptional care towards my grandmother, Mdm Cherng, who is a dementia patient. Dr. Teo is a very caring and compassionate doctor who shows great understanding and patience when caring for elderly patients. She takes the time to listen, explain, and provide reassurance — not only to the patient but also to the family. Her attentiveness, professionalism, and gentle approach make a big difference in my grandmother’s care and comfort. Doctors like Dr. Teo are truly rare gems, and she is undoubtedly an asset to the hospital. Our family is deeply grateful for her dedication, kindness, and genuine concern for her patients’ well-being.</t>
  </si>
  <si>
    <t>Special mention to Diana Michael who was in charged of ward 12B, very efficient, careful, 细心，concern, responsible staff. She give patients feel comfy. She understands patients conditions well. Therefore her reply to patients with no hesitation. Can see her sincerity and she use her heart to work. She even explained clearly to our questions. Thumbs up to her!!!</t>
  </si>
  <si>
    <t>Was admitted on 21 Oct 2025. Had an operation. Infrastructure is dated, could use some sprucing up. But the doctors, nurses and staff are some of the friendliest and likeable people around. They don't just treat you as a patient, they treat you as a friend, such that your anxiety level because it's a hospital stay, just minimizes. Your hospital stay is no longer a hospital stay, it becomes another place you know you can go with peace of mind. Kudos to all at TTSH ! I don't regret one bit my decision to go TTSH A&amp;E !</t>
  </si>
  <si>
    <t>Queue for medicine at Level 2 pharmacy was long. The staff didn't give me a queue no and I had to wait for more than 1.5 hours. I asked if they could send an SMS to tell me and they agreed. No SMS was sent. My name was not called They had told me I need to wait for at least 45 mins. They should improve on this. Provide training and more staff. I noticed a review 3 years ago had highlighted this problem, which has not improved. Can the hospital look into this problem to improve this?</t>
  </si>
  <si>
    <t xml:space="preserve">There are many negative reviews but I want to give these 5 stars review to physiotherapy M/S Jewel. She is a nice, understanding person who guide me in my treatment. </t>
  </si>
  <si>
    <t>My brother-in-law was in ICU. On Sunday 7th, he was critical and in his last breath. The ICU ward allowed 10 visitors but at the entry point on the 1st level they disallowed. This created delay which was critical for the immediate family to see him before he passed on. There should be better communication in the hospital.</t>
  </si>
  <si>
    <t>I visited the A&amp;E in TTSH on Monday 15 Dec 25 after having severe knee pain the night before. I was attended to by 2 doctors, one who recorded my case and another who explained the treatment needed. Dr Tong Mei Ling who put us at ease with her sense of humour was patient and helped me and my husband to understand the treatment needed and the course of recovery. She immediately referred me to physiotherapists present. Jason Loh and his team explained how to strengthen my leg muscles to minimise the load on my knee. Despite having many patients to attend to, they were genuinely caring and patient. I would like to say a very big thank you to Dr Tong, Jason and his team for for their outstanding service. With sincere gratitude.</t>
  </si>
  <si>
    <t>I want to share my frustration with my recent visit to TTSH pharmacy. The whole process was just too much. First, I had to scan my ID to get a number to register, and after waiting for an hour, they gave me another number to wait for my medicine. Can you believe it? Another 1 to 2 hours of waiting! I don't get why they added this extra step. Last time, after scanning my ID, I would get a number to collect my medicine. This additional steps of collecting medicine just makes things take way longer, longer than seeing a doctor! It doesn’t make sense. What made it worse is seeing so many counters just sitting there empty while lots of people, especially elderly waiting. They even have a robot giving out medicine, but it didn't seem to help at all. It does not align with their goal to increase efficiency. I know TTSH might want to create jobs, but this is not the way. This experience was really disappointing, and I hope TTSH can resolve this issue. I have been to SGH but they are way faster. This is really bad and a disgrace for TTSH.</t>
  </si>
  <si>
    <t>My father has recently admitted to hospital and was attended by doctor Zanna.We wanted to thank you her for outstanding dedication, care, compassion and kindess .We are grateful for the exceptional support provided during the time when my father was there.</t>
  </si>
  <si>
    <t>Very good hospitality, environment, friendly staff and convenience area design where all fields come together in one place.</t>
  </si>
  <si>
    <t>Thank you to the Surgeons, Doctors, Nurses, Allied Health Occupational Therapists and other Hospital Staff for the Professionalism and Excellence in care and service throughout my medical treatment for torn wrist ligament injury due to NS Reservist related injuries between 2022-2024, especially for the 2023 wrist ligament repairs medical procedures and surgery, and both pre-procedure and post-surgery care and occupational therapy and physiotherapy. Wishing you all a Blessed Merry Christmas on 25-December-2025, and a Happy Upcoming New Year 2026!</t>
  </si>
  <si>
    <t>Nurses were kind and friendly. They may seems like a lazy bum but they were trying write the medical reports and at that same time looking after other patients. After all is their job. One more thing I would say is cooperate with them if you want to go home.</t>
  </si>
  <si>
    <t>Pls improve your Management services.... too slow for a doc to draw blood... we shd be discharge by 12pm till now, no doc come to draw the blood.pharmacy delaying the mwdication process... what a disappointment !</t>
  </si>
  <si>
    <t>I accompany my husband to see doctor at 12.15pm and were then directed to collect medication. Registered at 1.07pm and we're told that we need to wait for 1.5hrs but we were only called at 3.30pm. The worst waiting time to just collect medication. So many counters but less than half opened. This is terrible with so many elderly and sick People with no choice but to wait. Pls be more considerate and do something to improve your system.</t>
  </si>
  <si>
    <t>Went to clinic 2B for colonoscopy and gastroscopy by Dr Wong. It was a pleasant experience. All the staff are helpful, caring, professional and skilled. The procedure was done on time and went smoothly. Thank you!</t>
  </si>
  <si>
    <t>I am very happy and greatly appreciated with Dr Rabesh ( Eye Specialist) and Dr Brian ( glaucoma specialist) on the care and medical service given to me. Thumbs up for TTSH with the 2 eye specialists. Thank you so much.</t>
  </si>
  <si>
    <t>helpful and friendly counter staff, doctor and assistants. professional and detailed when giving medical advice and carrying out examinations. facilities are clean. got to see the doctor within 5 minutes of my appointment time.</t>
  </si>
  <si>
    <t>I went to the Tan Tock Seng Hospital today for a minor surgery on my left eye. The surgery was done in the Operating Theatre in the nearby NCID (National Centre for Infectious Diseases) building, across the road from the Main TTSH. I wish to compliment all the staff related to the operations of the Operating Theatre in NCID. From the moment I stepped into the Registration Office to the moment I left the Building after my operation, I was extremely impressed with the efficiency and professionalism of all the working staff in the Operating Theatre. Kudos to TTSH! Keep up the good work!</t>
  </si>
  <si>
    <t>Had an appointment at Clinic 2A at 4.40pm, and arrived 10 min early. Only managed to see doc at 6.30pm. Worse, pharmacy at level 2 closes at 6pm. Was asked to collect at A&amp;E pharmacy, which is another long wait!</t>
  </si>
  <si>
    <t>IS was a Rough &amp; Tough 19days stay for my mother from 30th Oct to 17th Nov.. Thanks to Dr Lam and All the medical staffs (PT/OT) in Ward 7D.. Very much appreciated for your efforts to treat my mum.</t>
  </si>
  <si>
    <t>On 24 Sep, I brought my daughter to TTSH. What should have been a simple medication collection turned into almost 3 hours of delay. The doctor (Dr Koh) forgot to issue the prescription and initially denied it, only admitting it after being confronted. The clinic was not busy, yet we were made to wait unnecessarily. My child had to leave school early and I had to take leave from work. Getting a specialist appointment is already difficult, such lapses make it even worse. Very disappointing.</t>
  </si>
  <si>
    <t>I am extremely disappointed with the poor management and long waiting hours at Tan Tock Seng Hospital’s A&amp;E. The delay in getting a proper diagnosis and treatment was unacceptable as they had an oversight. She had to wait nearly 24 hours before being referred to the right specialist. The overall coordination and efficiency need serious improvement—waiting for a bed and necessary procedures took far too long, causing unnecessary discomfort and distress. I would give 0 stars if there was an option. If any emergency please avoid this hospital at all costs.</t>
  </si>
  <si>
    <t>The waiting time at the pharmacy was really ridiculous. 20mins standing to Q for registration and another 1hr plus waiting for medication. Ask if I could opt for Order and delivery service, due to new medication, delivery service denied. Ended up waited more than 2 hrs (is this acceptable to the management if you were the one waiting?!) at the pharmacy just for Meds. The pharmacy here was overly crowded and and insufficient seating. Once awhile you see frustration elderly creating a scene here. Their tiredness and confusion. I urge The hospital management team, you really need to look into this issue to shorten the waiting time. Thank you.</t>
  </si>
  <si>
    <t>We have been waiting for more than 1 hour for our medication upon discharge. Somehow, the pharmacist got lost.Maybe MIA.</t>
  </si>
  <si>
    <t>This hospital almost killed me. I suffered internal bleeding in my throat. Went to the A&amp;E twice in four hours. Was discharged both times with nothing more than antiseptic mouthwash. Went to Khoo Teck Puat Hospital, internal bleeding was identified and I underwent emergency surgery. I lost enough blood that I needed a blood transfusion. Absolute appalling and atrocious, especially from the doctor at the ENT clinic who refused to believe I was bleeding internally, despite coughing up fresh, bright red blood, for more than 3 hours.</t>
  </si>
  <si>
    <t>I had a rough experience last Saturday and want to share some feedback. I got injured by accident, and the wound wouldn’t stop bleeding. I went to a private hospital, spent the whole morning there, paid a lot, but they didn’t do anything for me-just transferred me to a specialist with an estimated surgery cost of thirty-eight thousand dollars. Thankfully, I went to Tan Tock Seng Hospital, where the emergency team quickly arranged my surgery and completed it the same day. I’m so grateful for the amazing staff and everyone who helped me that day!</t>
  </si>
  <si>
    <t>Unpleasant experience : Dr Ho Ming Hui whom has seen my father had overlooked on the treatment report. (Needed the nurse from treatment room 32 to come over and explained the test diagnosis) She had also overlooked to pass down instructions to the administrator, to inform us that my father needed to do a urine test. (Administrator had personally apologized to us saying that the doctor did not inform her on the urine test) We had patiently waited and the appointment only ended around 4.10pm. 4.10pm was the time that we have yet to collect medication ok? My father is on NG Tube feeding and had also missed his feeding at 2.00pm. (We had 2 appointments, 1st at 12.15pm for treatment and 2nd appointment was 2.15pm to see a doctor) He is residing in the nursing home thus we hope to clear the appointment soon so that feeding and transport arrangements can be made soonest. (The Chinese treatment nurse of Room 32 was very kind to take note of it) But we did not expect the doctor to overlooked the urine test and told us she had "see wrongly" on the report that had made us waited even longer due to her careless negligence. Thank you.</t>
  </si>
  <si>
    <t>Mt Elizabeth is Great Again After the effort to renovate the hospital, this place seems to have given itself a new lease of life. It now has a beautiful lobby, business centre, and everything basically looks new again. The short stay I had here gave me a very good impression. Service from the nurses in the wards, to all other staff involved in my admission were polite, friendly and helpful. The magic is always in the people. The room was nicely renovated and had almost all the amenities one can think of. The food served was top notch and sufficient. The checkout service was fast and efficient. I didn’t even have to go to the business office to settle the bill there in person. And they make transport arrangements to send you to your home or hotel. Overall a very pleasant experience.</t>
  </si>
  <si>
    <t>Came in for a day surgery. Feeling very well taken care of. Nurses, porter, radiographer, doctors, food and beverage etc were all very nice and caring. They assured me when they noticed i was very nervous and they came to check on me very regularly. I would choose to come back here (if i have to).</t>
  </si>
  <si>
    <t>My wife had a good experience delivering our 1st newborn. All the nurses are quite experienced and extremely helpful. The highlight of the stay was the lactation consultants Thirl and Hazreen, who were such a great help. All the instructions and tips they gave were extremely useful and they answered all our questions with patience and with a smile. Extremely easy to connect and communicate.</t>
  </si>
  <si>
    <t>I would like to express my sincere appreciation to the Mount Elizabeth team that had took care of me; from my delivery till post-delivery stay at Ward 4B. The doctors and nurses demonstrated exceptional professionalism, compassion, and patience, always taking the time to explain and provide reassurance. The butler service staff were consistently polite, attentive, and prompt in assisting with food orders and delivery, ensuring comfort at all times. The cleaning staff also did an excellent job, maintaining a clean and pleasant environment with great care and courtesy. Overall, the team’s dedication, prompt assistance, and high standard of service made a meaningful difference and reflect the hospital’s commitment to excellence. I would like to extend my sincere commendation to Ms Thirin, Lactation Consultant, for her exceptional patience and dedication. She took the time to carefully teach my husband and me the essential toddler care skills and knowledge, ensuring we felt confident and well-prepared. Her clear guidance, calm approach, and willingness to answer our questions made the learning experience reassuring and valuable. We are truly grateful for her support and professionalism.</t>
  </si>
  <si>
    <t>Service/ doctors/ room are good. But management should close ward near to any drilling. Can feel the vibration in the room. The only solution was ear plugs and “I told you when admission”. Very inconsiderate hospital as they are only concern about $$$$</t>
  </si>
  <si>
    <t>My wife was warded here after a brain op. I lodged together with her for about 5 days. Unlike the lackluster reviews of others here, we experienced the best of everything, from customer service, admin, ward nurses, porters, housekeeping, and food services. Everything was top notch service. Smiles all around, sometimes we forget this is a hospital, felt like a 6-star hotel service. Room and facilities work as advertised and intended. Honestly the human factor just covers any hardware flaws you might encounter. I left the best part to the last. The food menu, OMG., opulence, exquisite, heavenly, MasterChef quality. I know everyone's only talking about the lobster laksa. Yes that's good too. But I must specifically point out the beef rendang. I have always like beef rendang but Mt E's rendition is the best by far. I have never tasted a beef rendang more tender and juicy than theirs. My saddest fleeting thought was that I will never get to eat this again unless I am hospitalized. Touch wood. As they say, there are some things worth dying for.... Mt E's beef rendang comes really close.</t>
  </si>
  <si>
    <t>I 1st time visit this hospital and provided a terrible service. The staff was outside the car park and she can see I’m carrying a newborn baby, but didn’t help open the door. Then, parkway and mount Elizabeth hospital provided the clinic location was not tally. It waste our walking time!! Inside the clinic the staff workflow is too slow. On the counter the nurse telling me take half an hour will be my baby turn. However, wait about 1 hour still yet my baby turn. The hospital inside look nice and the quality of work are pretty poor. Last and not list, SG govt wants increase population of local citizen but the hospital totally didn’t prioritise baby patients.</t>
  </si>
  <si>
    <t>Thiri, our lactation consultant, was amazing. As first time parents, we had many questions, and she was incredibly patient and explained everything clearly and thoroughly. Her calm and reassuring approach made us feel much more confident. Highly recommend her to any new parents.</t>
  </si>
  <si>
    <t>I am truly grateful for the lactation consultants, especially Thiri. She is very patient taking the time to show me, letting me practice, and offering gentle guidance throughout. What touched me most was how they went the extra mile to remember my baby’s details. I felt very supported, cared for, and happy with the service.</t>
  </si>
  <si>
    <t>I recently had the pleasure of staying at Mount Elizabeth Hospital in Orchard, and I must say, it was an exceptional experience. The service provided by the staff was outstanding—they were attentive, compassionate, and always ready to assist with a smile. One of the highlights of my stay was the food. It was absolutely delicious, with a variety of options that were both healthy and flavorful. The meals were well-prepared and thoughtfully presented, making my stay even more comfortable and enjoyable. I would highly recommend Mount Elizabeth Hospital to anyone in need of medical care. The combination of excellent service and delightful food makes it a top choice. If you ever have the chance to stay here, don't hesitate! Hope you get your chance soon!!!</t>
  </si>
  <si>
    <t>wanted to get ultrasound but price is about $3000+ and we rejected it politely. then the nurse that tended to us about the price said out loud "they say too expensive" in the most disrespectful way implying we dont have money or some sort of racism. mind you we are able to pay but for that price no. disrespectful lady but the doctor and everyone else was nice. racism was 10/10.</t>
  </si>
  <si>
    <t>Despite the hospital undergoing renovation, and cause some dust and noise. But I would still like to say thank you to all the staffs . The nurses to the butler are professional and caring.. Especially to the Staff Nurse Jullianne Marie Parian from the ICU at Mount E, provided truly outstanding care for my mum. Jullianne was always attentive, patient, and made sure my mum was comfortable, even when things were busy. Her professionalism, compassion, and gentle nature reassured both my mum and our family every step of the way. We’re deeply grateful for her dedication. Thank you, Jullianne! Hugs</t>
  </si>
  <si>
    <t>Did an overnight sleep study test for sleep apnoea, and commenced my pre-admission at 6pm. There weren’t many patients at that time so I was surprised when I had to wait 45 minutes to be attended to. During my pre-admission, I mentioned that I did not want to be warded immediately as I intended to head out for dinner before returning. It would have been helpful if the administrative staff informed me that dinner would be served. When I returned to the hospital’s administration area after my dinner, I also enquired if the hospital provided a complimentary limo service upon discharge, but the administrative staff were unsure about it and told me that the service was only available to patients who just conceived. I later found out that the limo service is a complimentary service available to all patients discharged on weekdays. They ran out of single rooms so I was given an upgrade to the VIP room. The room itself was clean and spacious, and the nursing staff were friendly and professional. In general, my stay was pleasant and I had a good experience, which would have been made better if the administrative staff was better informed on the post-ward services. When unsure, they could have informed me to check with the nursing staff instead of offering inaccurate information.</t>
  </si>
  <si>
    <t>Staying here is no cheap. Mostly patients that comes here are usually foreigners . The hospital have a lot of individual doctor clinics. Then the patient will stay in the hospital. The environment is a lot better than government hospital. But of cost, the money u pay also different</t>
  </si>
  <si>
    <t>7 years ago</t>
  </si>
  <si>
    <t>Hello, I was hospitalized at Mount Elizabeth Hospital in Singapore from April 4, 2025, to April 16, 2025, due to a sickle cell crisis that occurred during my stay. I received excellent care and appropriate treatment from the medical staff, and I sincerely thank Dr. Tan Hua Chan Patrick for his attentiveness. I underwent a blood transfusion, and everything went well. Dr. Tan Hua Chye Patrick reassured me greatly. I sincerely thank the healthcare staff, cleaning personnel, servers, nurses, aides, doctors, and physiotherapists for their kindness and generosity! Their warmth and smiles made me forget that I was ill. Even the dishes were appetizing ! I was able to return to France in good health after my hospitalization. Thank you all!</t>
  </si>
  <si>
    <t>I deliver my 4 children in this hospital. Their nurses are fantastic and caring. The only system that needs to be updated is their payment and billing system to lessen the wait upon discharge. The cashier and admission/discharge customer service are great too. However the real 5 stars goes to my lactation consultant, Xing Li when delivered my 4th child. I breastfed my first 3 for one year plus each. You would think that I know everything… until I met Xing Li. She is not only accurate and helpful, in fact she overdelivers her services by helping to clear plugged ducts/mastitis. Not just that, she taught me how to latch my baby by letting baby latch on herself instead of the traditional pushing the baby to the breast, causing her to clamp down and caused nipple tear. I really wish I had known her earlier. She serves the patients with her heart and soul and her top notched service and knowledge level is beyond any lactation consultant I’ve ever met. If the management sees this, please commend her for me! She really is the best!</t>
  </si>
  <si>
    <t>My wife was recently admitted to Mount Elizabeth Hospital and we are truly grateful for the excellent care she received. She was seen by Dr Adrian Tan Keng Yew (Adrian Tan Neurology Practice Pte Ltd) and Dr Eugene Lim Ui Chong (Elim Rheumatic Centre), both of whom were very professional, attentive, and thorough in addressing her health issue — something she had been suffering from for more than a year. Their expertise and reassuring approach made a huge difference for us. The hospital stay was very comfortable, and every staff member we encountered provided outstanding service. From admission to discharge, the nurses and team were caring and responsive to all our needs. When it was time to leave, the staff went the extra mile to help carry our belongings and assist my wife in a wheelchair all the way to the lobby, where I could conveniently pick her up with the car. The meals provided during her stay were also excellent, with a good variety of choices that made her feel well taken care of. Overall, Mount Elizabeth Hospital exceeded our expectations in every way — from the doctors to the nurses and supporting staff. We sincerely thank everyone involved in my wife’s care and would highly recommend this hospital to anyone seeking quality medical treatment.</t>
  </si>
  <si>
    <t>Had a day surgery here with positive experience. Staff are friendly and caring. Facilities are clean and comfortable. Service and medical attention is definitely top notch (comes with a price tag)</t>
  </si>
  <si>
    <t>Staying in single bedder w lodger n very nice meals great black coffee. Crab n Evelyn shower. Wat more can you ask for. Fast service. Good service. Like a hotel except better in many ways. Like 1st class singapore airlines except more healthy. Love the food. Spacious bright room.</t>
  </si>
  <si>
    <t>9 years ago</t>
  </si>
  <si>
    <t xml:space="preserve">I was admitted from clinic to hospital. Admission was really smooth. Nur Alshfika handles my documents and time so calmly and politely. She made my day. I was give a free room upgrade to Executive Suites. The room was so big and nice. Very clean and great. Some nurses are nice while some are just grumpy. The renovated room still need more touch ups. TV has no batteries changed have to go so near to press. The calling nurse button working the light and tv buttons are not working. I had to keep calling the nurses and night shift ones are not welcoming at all. There is no difference in food between Mount E Orchard and Novena. All the same. </t>
  </si>
  <si>
    <t>Was a patient here for a night and I have to say it's all good! Offers a wide variety of food selection. Single ward is spacious and comfy. Caring and professional nurses.</t>
  </si>
  <si>
    <t>5 years ago</t>
  </si>
  <si>
    <t>Mount E truly needs to rehaul its lift programming, my wait for a lift to either go up or down is longer than the time I wait to see my doctor and my actual appointment. Frankly quite ridiculous, worst part of my visit every time.</t>
  </si>
  <si>
    <t>Sadly… rushed to MT E , Orchard as I fractured my foot. When we arrived at A&amp;E both my cab driver uncle and I was puzzled wandering for moment if that was A&amp; E. Not a soul to guide one. He was kind, went running around to get me a wheelchair, which was not visible to public. Found one and helped me to. No hospital staff to assist as I figured they were attending to other important issues. My feed back, if you are short handed at least have the wheelchair easily available to patients.</t>
  </si>
  <si>
    <t>This hospital is like a loan shark. Only know how to chase for payment … and this is about a bill that has been settled last year, with email evidence from their customer service!</t>
  </si>
  <si>
    <t>Went to A&amp;E after hours- even for a non-urgent case, the wait time was short- whether to see a doctor, to get the xrays done, xray review. We were in and out in an hour! The staff were really nice, helpful and very friendly with children, joked around to make my kid feel less scared (he ate a magnet). Appreciate. Thank you!</t>
  </si>
  <si>
    <t>Whilst their service is obviously top notch (with pricey tags too), but certainly worth every penny if you want tip top health service quality. I’ve unfortunately had to be warded twice this year and I’ve been upgraded to their Royal suite on both occasions. To be honest I didn’t particularly feel comfortable given it was prob too big for a single person to stay in a 60m square room! Nurses are extremely dedicated and passionate and they truly care. Food was amazing too by the way! Prata and curry was not bad given its a hospital!! Even on the 2nd time where I could barely eat due to a tonsillectomy, I managed to force down some really tasty chicken consumee, sliced fish soup and longan jelly.</t>
  </si>
  <si>
    <t>The lab staff occupied all the sofa at the waiting area meant for elderly patients. They are Very inconsiderate and sitting unsightly and laughing loudly, damaging the image of a prestige Hospital. MEH should do something</t>
  </si>
  <si>
    <t>The nurses are perfect at their jobs, cannot say the same towards the doctors. All the doctors in Mount Elizabeth value money over patient well being, so watch out if you decided to enter this hospital for operations etc. They will try to forcefully persuade unnecessary operation into you when there isn't need. What worst is when all the patient scans are perfectly fine, the doctors still purposely visit patient say some nice words so they can collect $300 daily.</t>
  </si>
  <si>
    <t>Noticed many good doctors in this hospital did not have any rating or many good ratings about their practices. Rather, some doctors who were either very rude to their patients (eg shouting v loudly at his patients at Mt E Novena) or had over charged them, had very high ratings for their clinics on google review.Eg One of them always appears on social media and look super friendly. So now, although we still visit Mt E, we no longer trust the good ratings of such doctors. Hope patients would take good ratings with a pinch of salt and read their 1 star reviews as well and not be misled.</t>
  </si>
  <si>
    <t>Edited 6 months ago</t>
  </si>
  <si>
    <t>Avoid at all cost. Lousy hospital, waited more than an hour for admission only to be assigned to a bed that already had a long term patient. Unhelpful counter staff. Was to be assigned an ICU bed after surgery but instead assigned to a 4 bedded 'HDU' bed in a normal ward converted by slapping a sign on the door. Please do not visit this hospital.</t>
  </si>
  <si>
    <t>I chose this for total knee replacement for both my knees. The surgeon was excellent as far as I can say yet. The nurses are very willing and friendly. Physiotherapy is excellent. The hospital though charges hundreds of S$ for a double bedder which has the charm of a simple garage but not even a visitors chair. Choice of food is very good. In Malaysia or Thailand you can find similar treatment for half of the price. And yes, I live since twenty years in SEA and like Singapore.</t>
  </si>
  <si>
    <t>The radiology centre is under renovation while operating which causes very long waiting time (mine was an hour long). The hospital or clinic could have collaborate with outside radiology centre (just next block) to minimize the wait time.</t>
  </si>
  <si>
    <t>I did not imagine my first day as a tourist in Singapore would begin with a sudden rush to the hospital with stomach pains. So I was quite scared and confused. I picked Mount Elizabeth Hospital because it was closest to my hotel. Outstanding service. I only spent 15 minutes in urgent care before receiving a consultation with a doctor who had a very calming vibe and good sense of humour. My needs and concerns were answered, taken seriously. I was sent to a gastroentologist for a further assessment who was also the same. Once again, very minimal wait times. They knew I was a tourist, and every staff member I saw was very quick to assist me and knew how to go about asking for my travel insurance details. When I got sent for a CT scan, I got in 40 minutes before my scheduled appointment! and I hadn't even got the IV drip out before I was given the clear from the doctors that I didn't need surgery. Within one short afternoon, I was given very quick and easy treatment, medication, and reassurance. And I was able to continue the rest of my holiday in singapore pain free thanks to the amazing and fast help I got at this hospital.</t>
  </si>
  <si>
    <t>Admission is slow and paper work is lengthy. Two bedded room is pretty small, the room can get very rowdy when there’s too much visitors. No head phone provided for the TV, you cannot really watch with raised volume as it will disturbed your neighbouring bed. You can only watch it using subtitle. Plus point, locker and safe box provided in the room. Food wise, selection is wide and food is tasty. I wonder if it is because it is at Orchard road or there’s really a lot of patients, but ground level is always crowded. Ground level feels more like a shopping mall than hospital. I was in the isolation room as I was admitted to other hospital before admitted here. If I were to compare, infection control seems to be have some gaps. Visitors were not asked to put on mask when entering. I was not asked to put on mask when leaving the room. The door was always left open. Services is consider average for the price I have paid for.</t>
  </si>
  <si>
    <t>8 years ago</t>
  </si>
  <si>
    <t xml:space="preserve">I tried to fill a prescription for warfarin, to my surprise, the pharmacy attempted to dispense a bottle that was set to expire in just one month - and I was told this was the only bottle they had left! For a hospital of this reputation, it is unacceptable to offer patients near expired medication, especially something as sensitive and essential as warfarin. I expected a far higher standard of care and accountability. The experience has caused me to lose trust in the pharmacy's quality control and inventory management. Patients rely on hospital pharmacies for safe, up-to-date medications - not leftovers that are nearing expiration. Disappointed and concerned. </t>
  </si>
  <si>
    <t>I waited 2.5 hrs to be admitted for a scheduled procedure. Once admitted, the ward nurse asked questions that suggested that she didn’t know what I was admitted for - asking, are you here for diagnostic scan or an operation? Public hospitals in Singapore has about same wait time for admission for planned operations, same throw of dice regarding nursing staff quality and is a fraction of the price.</t>
  </si>
  <si>
    <t>One of the worst hospital experiences, which is especially disappointing considering that Mount Elizabeth Orchard Hospital is a private, supposedly prestigious facility. I stayed there late May for surgery, but the experience turned into a nightmare. First, they placed me and other sick and recovering patients in rooms directly adjacent to construction work. The unbearable noise, drilling, was so loud that I could barely hear the nurses’ instructions. On top of it there was a strong chemical like odor in the entire ward. The issues didn't stop there. I received absolutely inadequate assistance after surgery, had an incorrectly done, painful IV insertion that was ignored until I repeatedly asked for help, and on top of it my medication schedule was mismanaged. Post-discharge, the experience worsened: my discharge documents listed the wrong information. My insurance was billed for costs I didn’t incur, which the hospital eventually corrected - if I hadn’t checked, it would probably have gone unnoticed. Apart from this, despite the hospital having my insurance details, they still harassed me for payment with calls and texts, including a payment link, for amounts that weren’t for me to pay, which they also later admitted. In general, it took multiple calls to get basic information and to sort out the confusion - when you are not well after surgery, trying to recover you really do not need all this. This experience left me questioning the hospital’s compliance with basic safety standards and their sense of responsibility. I lodged a formal complaint, but apart from offering a fruit basket and a checkup on my hand swollen from the improperly inserted IV, the hospital showed little accountability for the consequences of their actions for which I suffer to this day. I strongly advise others to avoid this hospital. Looks like it’s a profit-driven, impersonal institution lacking basic compassion and organizational standards. My stay has left me with ongoing issues, and I wouldn’t want anyone else to go through the same.</t>
  </si>
  <si>
    <t>Beautiful hospital. Personally witnessed service crew replacing air filters inside private clinics, so I’m sure the rest of the hospital has them too. But the absence of a hospital-wide mask mandate is baffling. How is it that many restaurants in SG continue to have universal masking in place for their staff—yes, even in 2025—but not private hospitals such as Mount E - Orchard that charge hefty fees for their services? And when doctors do wear (ill-fitting) masks, they end up taking them off sometime into the consultation even when they are visibly/audibly unwell.</t>
  </si>
  <si>
    <t>I find that the standard of abeth Hospital is so poor. Poor attitude of staffs serving food to patient (cos of the notice isolation, they cannot brong food into the room? - the patient not having some infectious or contagious diseases, just coming in for cardiac ablation only)) the whole patient journey is so bad that even when the doctor offered for my hubby to stay for one more day, we want to go home immediately. Room door is broken, cant closed properly. should into retraining of staffs, poor quality of food. My hubby after post op 1 day, pressed the call bell as he needed help to get up from the bed a chinese nurse came in to his room and stand at a far distance and refused to assist. He said he does not need help anymore and she left. He then waited for a while and pressed the call bell again. He said one Indian senior nurse is very helpful and assisted him. Wondering why the differing standards of patient care. And the caterer, grumpy most times??? Really shocked by the environment and staffs attitude</t>
  </si>
  <si>
    <t>Mount Elizabeth Hospital at Orchard has got to be one of the worst private hospitals in Singapore. As of the time of this review, the hospital is undergoing major renovation work. So if your loved ones require rest, this place is highly NOT recommended. Drilling sounds that goes through your head can go on for the entire day and the construction teams actually disregard any normal conventions stopping work to reduce noise at night. The removal of debris can be clearly heard from the ward throughout the night. The management should have already received a number of complaints, as there was a grunt going around setting up I quote “sound-meters” to measure the sound. That sounds like deluded management trying to measure and resolve the issue from miles away behind a cushy desk. Anyone with non-impaired hearing can hear the drilling and you need a meter!??? And oh, the lifts to the wards, omg. The only star I am giving for my review is dedicated to the nursing staff who helped out a lot with my mom’s stay. They were endlessly patient with her, helped to feed and clean her when we couldn’t do it properly. I am really thankful for that.</t>
  </si>
  <si>
    <t>Had a day surgery there a week ago (18 July). I have to say I was thoroughly impressed by its staff throughout my experience there. Jennifer, who wheeled me to the operating theatre, was kind and comforting. Charges were very reasonable too! Highly recommended! Oh yes.. the food was very good too. Ordered the porridge... I was presuming it was going to be horrible. But to my grest surprise, it tasted wonderful and really good quality rice were used to make the porridge. I actually finished it!</t>
  </si>
  <si>
    <t>Visited the radiology clinic on 30/10/2024 together with my grandparents and was attended by senior radiographer hazwani. I want to express my gratitude for her thorough and clear explanation of the procedure. Her attention to detail not only eased my concerns but also helped me understand the location of my grandmother‘s metal implants better. It’s evident she care deeply about her patients, and that makes all the difference. Thank you! I also want to extend my heartfelt thanks to Shirley and Sky from the information desk for their exceptional care and support during my grandparents’ visit. Your thoughtfulness in offering mobility aids and ensuring their comfort made a significant difference in their experience. It’s clear that you both genuinely care about your patients, and I truly appreciate your kindness.</t>
  </si>
  <si>
    <t>The pharmacy is so slow. Staff were not helpful at all.</t>
  </si>
  <si>
    <t xml:space="preserve">I was a strong advocate of mount E orchard after the pleasant experience during my first delivery in 2021. However, experience earlier this year was subpar. Approx 50% increase in package price for maternity aside (i don’t mind the price increase if experience was similar to the last time), the billing-related service and food quality did not justify the hefty price that Mt E charges. Won’t be going back to this hospital anymore. </t>
  </si>
  <si>
    <t>This hospital has the worst service I ever encountered for a hospital in addition to charging exorbitant sum. Recently my mum went there for some procedures &amp; stayed two nights. There was practically no service from the hospital ‘s medical staff on the first night as my mum stayed over because she had an early morning surgery and procedure . The ward was practically empty with one nurse at the nursing station and an occasional nurse appearing. It was practically like a ghost town late at night and early in the morning . There was practically no service from the nurses on the first night but my mum was charged with service fee and medical supplies which we did not use on that night. We were also charged for things that we did not use on the second day. This hospital has very few experienced nursing staff and they are also not well versed in the the hospital procedures. Majority of them seemed very lost , lacked initiative and did not communicate to each other and were not well versed with the hospital procedures. We had to do a lot of stuff ourselves like calling the doctors ourselves as the nurses could not tell us when the doctors are coming and could not be bother to call them . We even had to put my mum’s name and food and drinks instructions , etc ourselves . We had to dispense our own medicine that we brought from home as the nursing staff gave conflicting instructions at different times. They came to check our medicines twice but didn’t do anything (seemed there was no communication between the pharmacy staff and the nursing staff). We ended up doing most of the nursing job ourselves . Luckily my mum had two excellent doctors that we had engaged on our own and the stay was short. We do not understand why we had to pay for services when there were not much and why we were charged for stuff we didn’t use and why the total hospital charges were much more than the estimated maximum hospital charges given to us upon admission though my mum’s procedures were just normal ones and there was no complications . It is a real shame that a hospital that used to provide excellent nursing services have now deteriorated to this state. It was a bad nightmarish experience. On hindsight we should have admitted our mum to a public hospital as most of our public hospitals give excellent medical care despite facing shortage of medical staff. Our public hospitals clearly out shine this expensive premium hospital in many aspects.</t>
  </si>
  <si>
    <t>Did my day surgery on a weekday morning. My op was scheduled at 8 am. You need to come early to get yourself registered, which I did at 6.35 am. There were only two staff members at the admission counter. If you're new to the hospital like me, it will take some time to get your record registered since there are a few documents you need to electronically sign on the spot. If you are covered by insurance, do get your letter of guarantee ready and show them if they can't find it in the system. After registration, you'll be called by nurse to your day ward. I was treated very well. You will be given different choices for lunch. On my way to the op theatre, the staff reassured me everything would be alright. The soft touch on my hand before operation really does make me feel comfortable that I'm in safe hands with them. I don't have a bad experience with the hospital. Just the registration process can speed up a little. Given that much paperwork involved, the staff would have to follow the procedure, which is quite a burden for them. Overall, it's good.</t>
  </si>
  <si>
    <t>Without mentioning about doctor quality, the service is awful. I am foreigner coming for PET check but they keep dragging my schedule. Until am about to stave that i got my turn, despite of my booking since i havent come to Singapore. What a horrible experience</t>
  </si>
  <si>
    <t>Worst hospital ever, very dangerous, no hygiene and basic rules of safety. I literally see a patient coming out the block left in the corridor with public visitors, still asleep. The whole hospital is under construction, you get lost, you have huge noise and hygiene issue. This place should be shut down during transformation and meet basic hospital requirements. Very dangerous and not recommended. They make you waiting, no basic management of meetings, you wait hours…</t>
  </si>
  <si>
    <t>My CT scan appointment was scheduled for 9:00 AM, but I was instructed to arrive by 7:00 AM for registration. I arrived early at 6:40 AM and received queue number 06. After waiting until 7:40 AM with no updates, I approached the counter to check on the delay. I was told that queue numbers are not called in order, but rather based on the scheduled operation time. Eventually, my number was called at 8:10 AM. I completed the registration process at 8:35 AM and continued waiting for the scan. For a moment, I felt like I was in a different country. The entire process was disorganized and inefficient.</t>
  </si>
  <si>
    <t>This hospital leaves me a little shocked. As a hospital, there are no toilet cubicles with grab bars in almost all floors. Only toilets tucked in one end of the 10th floor of the specialist clinics have a single cubicle with grab bars for those with mobility issues. The water flows from the taps are really miserly too. To wash one's hand clean, one has to keep pressing the tap. This hospital is worse than even shopping centres which have cubicles for the elderly in every toilet. Worse, there's a total lack of parking lots now as the car lifts are not closed to the public. Visitors have only one choice which is to leave their cars with the valet. Good luck to them if their doctor consultations end after 5 pm, cos the valets have already gone home and we have to get the keys from the security guards and search for our cars ourselves according to the carpark lot numbers given by the guards. To make things worse, carpark lot numbers have long faded and it takes a lot of guessing just to find your car. As a profit-making hospital, it is really a shame that many places inside are in shambles. This hospital is MUCH WORSE than our public hospitals in terms of toilet facilities, ease of parking, maintenance and upkeep.</t>
  </si>
  <si>
    <t>Hi, My dad has an appointment at the Short Stay Ward. While waiting for his turn to be called I can hear staff members talking and laughing so loudly at the nurse’s station. After 2 hours I asked the nurse if my dad can have a cup of coffee . One of the nurses say they will be calling my dad at 11am because he can’t be called earlier as he needed to fast for this procedure. In the appointment letter there is no indication that my dad had to fast!!!! Why isn’t this informed in the physical letter and the SMS???? I don’t think this is right. Please look into this matter. I work in a Hospital sector too and I don’t think this is the right behaviour.</t>
  </si>
  <si>
    <t>Just wanted to thank Nurses Thiri, Tessy and Jo from the day surgery ward for being super caring, reassuring and supportive every step of the way when I was anxious about the procedure. The doctor and radiologist were really friendly and kind too. Blessed to have met them today.</t>
  </si>
  <si>
    <t xml:space="preserve">1 year ago </t>
  </si>
  <si>
    <t>Star given to the friendly and helpful nurses from ward 14 but CGH really needs to relook their processes to improve in efficiency.My mum was conveyed to CGH by ambulance on about 4am, 6 Jan 2025 but have to wait for about 50 hours lying in A&amp;E area before she was finally given a bed.Was informed that my mum can be discharged on 10 Jan 2025 morning, arrived at about 1.40pm but was told that the documents are not ready and to come back an hour later.When everything was finally done about an hour later, I was directed to Pharmacy B that is a long walk from the ward, it doesn't help when I have to push my mum along.When finally arrived at the pharmacy, realized that we have to continue waiting for them to dispense the medicine.Honestly, if they look at their current process, they are so many things they can do to improve their current process and cut short the endless by hours.</t>
  </si>
  <si>
    <t>Everyone was so professional from the beginning to the end, including the A&amp;E staff, registration staff, ward staff and even the uncle who brought my mom bedsheets. I used to have a negative impression of CGH - but there is so much care and concern for my mum despite the sheer number of patients and visitors the hospital has to handle.</t>
  </si>
  <si>
    <t>A trip to the hospital is never pleasant, however many small things about CGH were disappointing. From the van style ambulance, multi stage 8 hour admission to sleeping on a chair, yep a chair… and I was lucky, my chair was a big lounge style one, some are more like a padded board.14hours and every area you are required to be to attend to the endless queuing and questions is no-food or drink, not that anything was offered until I’d been there for nearly 20 hours… a box of congee. The final straw, after 6 doctors confirmed there’s 'nothing wrong now' and I’m here only for observation (aka sleep deprivation) my departure was deliberately delayed for hours even after a bulk prepayment of 3x the expected bill had been paid. Apparently only my doctor could approve my movements….. even though I never met the same doctor twice.I’ve no idea why this play is so busy. Addendum;I failed to mention the wards had at least 30 empty beds whilst dozens seriously ill patients sat in chairs in the outside, including myself... I discovered this after demanding a shower (after 3 days in the same clothing, due to the overnight flight) and eventually being shown through.CGH failed to provide a discharge letter and invoice went on to delay the refund for over 2 weeks, demand further payment and delay the letter for a full month.That letter is more like a liability wavier and spiteful response than a statement of service and facts, which is the intent given they were aware it was required for insurance purposes.Lovely admin team as well.</t>
  </si>
  <si>
    <t>Looking forward to Eastern General Hospital, CGH treatment is still bad and here's why: Went to A&amp;E due to open wound from fall. All the medical staff looked and didn't treat it, waited for hours until blood dried off. No cleaning off or anything just let you wait until your body recover. Doctor sent us off with painkillers and ointment even though leg was swollen with open wound.  Well done, it has been many years since I've been back and the level of care is still the same.Regretted this decision and would've travelled further away and bear the pain to Raffles Hospital instead.Zero star if possible.</t>
  </si>
  <si>
    <t>1 month ago</t>
  </si>
  <si>
    <t xml:space="preserve">Basically all A&amp;E in Singapore hospital are the same. I was told to wait minimum 6 hours last year at SGH around 11pm. I finally cannot take it and took a taxi to Mount E. Of coz I have to pay maybe 5 to 10 times more. But I was treated with 30 to 40 minutes. </t>
  </si>
  <si>
    <t xml:space="preserve">6 months ago </t>
  </si>
  <si>
    <t>My family and I would like to express our heartiest gratitude to the medical team at Ward 28 for my sister's stay in the hospital. The doctors, nurses and care staff who attended to her, have provided much comfort and support to her well-being and utmost care. I would especially like to thank Nurse Emma Hannifa for being such dedicated, approachable and reliable staff who went out all the way to ensure patient's and caregivers needs are met. And also to Nurse Arul Mary for rendering assistance with much friendliness and accommodating to special requests during this difficult time. Thank you and may you continue to touch the hearts of those who are sick and caregivers caring for the sick. Two thumbs up!</t>
  </si>
  <si>
    <t>Had a very bad encounter at day surgery PACU . I was fetching my sister from hospital after her surgery , at 10 am the staff called me and said can fetch my sister within 45 mins so I rushed to the hospital and reach hospital they told me need to wait for 5 hr since need to monitor . I myself also a health care worker working in different institutions so I also doubted that it is impossible to fetch within 45 mins but I rushed down since need to follow their advice. Reach hospital and I feedback to the staff that I was rushed down here to fetch my sister. So the The same particular staff who called my phone and scolded me “ I never give that kind of information to you “ she said twice in a scolding tone I replied her it doesn’t matter i am in hospital already , but she keep telling me the same thing I never told you like that. No offense but now I know why they say Cgh is the worst.</t>
  </si>
  <si>
    <t>Brought my grandparent for an eye check up Came early for the appointment. Waited 45min to do an eyetest (ridiculous - the kind where u state the number on the wall)  afterwards waited 1hour to see the doctor. doctor says have to do botox.Placed numbing cream on her. waited for an hour then placed another numbing cream an hour later. Waited to do botox for 2h. why. Botox took 30min. Came here at 1.45pm saw doc at 3+ left at 6pm.If so, what is the point of having an appointment. Imagine if my grandmother came alone.</t>
  </si>
  <si>
    <t xml:space="preserve">4 months ago </t>
  </si>
  <si>
    <t>I'm warded on 24/11/25 at ward 46 bed 15 and doctor told me I can be discharge today 26/11/2025. But until now at 1710hrs I still unable to discharge due to spinel doctor not yet review my surgery result, there for I log a complaint over here becoz next time don't anyhow give fake promise to patient and don't make patient like animal waiting for food...really bad service and bad attitude with the doctor at CGH Spinal department...Thank You</t>
  </si>
  <si>
    <t xml:space="preserve">3 weeks ago </t>
  </si>
  <si>
    <t>Last March (2025) when I was visiting Singapore I had a bad fall at the Changi Airport. My ankle was severely dislocated (my tibia was exposed). I broke part of my knee and cracked my elbow. I was transported to CGH where I received exemplary care from the ED staff, technicians, surgeons and their teams, and the nurses. Of all the places in the world, if I had to go through again what I went through in 2025, I'd want to do it in Singapore and go back to CGH.</t>
  </si>
  <si>
    <t>Doctors, nurses and porters were nice and friendly. The staff at payment counter were fierce and rude. It was stressful to be in the hospital, and the many processes can be sometimes confusing. My family and I were wondering about the next steps for payment, and when we went to the empty payment counter, the staff barely looked up when telling us (in a curt tone) to put the forms in the tray, and then turned to comment to the other payment staff that the area is "getting like a pasar malam". We were the only group, albeit a small one, in the area at that time, and it was uncalled for. The other hospital staff and a staff (for "care" services?) on standby in the area were helpful and provided timely support.</t>
  </si>
  <si>
    <t>Had a pretty bad experience with A&amp;E of CGH in mid July 2025. Personally, I feel that the medical team here tends to jump to conclusion on diagnosis before running more conclusive tests. I had visited the hospital with allergy symptoms which seemed to occur frequently, post COVID. That night in wee hours, it was bad. At the registration counter, the oxygen measuring machine was malfunctioned and the nurse was struggling with it. Took her awhile before she decided to seek help from fellow colleague. I wish she could have done it earlier. At Triage, the nurse was asking me tons of questions while measuring blood pressure at the same time. Hence the reading was expectedly high. She got a shock and was ready to record it when I had to tell her to retake since it was most likely inaccurate. Second retake, it’s normal.. I cannot imagine what I’d have to go through if she had decided to record the initial reading..I was seen by a doc, who acknowledged my condition but instead of calling his supervisor up via phone for treatment confirmation, he had left me waiting alone for quite awhile with the on-going allergy reaction. Took awhile before giving me the medication jab to finally ease my allergy symptoms. I’ve also informed him my suspicions of an on-going inflammation or infection (due to constant hecking cough with greenish jelly-like phlegm) and requested for him to put me through for blood tests. He rejected my request twice, eventhough am willing to pay for it. He had claimed that these tests are unnecessary and he does not know what blood tests to put me through either! CGH was adamant that my condition is just due to the complication arising from post covid and there’s nothing much they could do. I was fast dismissed with a referral letter to see an immunologist at SGH but, for an external ear skin infection (stated inside the letter), a hefty bill and minimal medication that only treats the allergy (if the itch occurs again and these yellow flu pills are not as effective vs Telfast, which I can get from Watson or Guardian pharmacies) instead of investigating and treating the underlying root cause of it. I had came to CGH with hives and swollen lips, and hope for a proper treatment to end my ordeal. But the focus ends up being on my external ears skin infection instead… Even worse, they mentioned to assist me in booking the SGH appt and will update me soon. I had waited for a week and still no news. So I called up CGH which they confirmed they did email to SGH but apparently no response from SGH. They can’t even update me on this.. So, I called SGH to check and the respective department reverted that they’ve not received anything from CGH. So I had to personally email the referral letter to SGH and book my own appointment which was delayed due to the fact that nobody from CGH bothers to update me.. so if I did not call up myself, I probably have to wait and suffer for years, without realizing SGH did not even know about my case…I was so disappointed and being still unwell, had decided to visit Mount Alvernia Hospital to seek for a second opinion. The doctor had ordered blood tests due to possible sign of on-going infection/inflammation. So true enough, blood tests are necessary and the doctor was confident to decide which blood tests were appropriate. From thereon, the right treatment and medication were prescribed and subsequent follow-up by SGH, sees me finally getting treated and recovering well.
I can only remind myself, not to visit CGH nor recommend it to others unless it’s a matter of life and death, and it’s the only hospital nearby.This is purely my own experience to share. My own friend had an even more bizarre experience here. Due to the malfunctioned ECG machine, she was told that she could have possible cardiac arrest and should admit herself into the hospital… and thank goodness a senior doctor happened to discover the faulty machine and that save her from truly getting a real heart attack from such nonsense! LOL!</t>
  </si>
  <si>
    <t>If you want to know what eternity feels like, go to CGH...6 hours to get triaged and 8 hours to get admitted/warded in a&amp;e. Case was repeatedly deprioritized to enter the operating theatre. Forced to fast for 18 hours because of the possibility but no guarantee to perform the procedure. Procedure repeatedly postponed, first by 24hrs, then another 24 hrs, followed by another 48 hours. Meaning I had to wait a total of 96 hours and that being said is already best case scenario, all while I have am open wound risking infection...nurses and doctors behaving like NPCs, repeating the same retoric when asked important time sensitive questions. The level of care was to be honest take minimal level of care and drop it to 50%... I could have given myself that level standard of care and first aid in a fraction of that time. Unless you guys are trying to test the limits of how much care you can withhold from your patient before his or her body breaks down...feels dystopic...all the team of doctors and nurses hiding behind the guise of SOPs and so called "best practices". How many cgh doctors does it take to change a lightbulb...5? 10? 15? I cannot say... Simply a clown show really... You guys should be ashamed of yourselves.</t>
  </si>
  <si>
    <t>My full hip surgery was a smooth n successful one. Thanks to Dr Moo Ing How n his professional team. Operation done on 22nd. Thumbs up to all d dedicated doctors/ nurses who go on their rounds everyday to check our health condition etc.. Kudos to nurses of WARD 35 . For being caring, patient, working tirelessly n taking care of us.</t>
  </si>
  <si>
    <t xml:space="preserve">2 months ago </t>
  </si>
  <si>
    <t>They are a bunch of amateurs. They missed an important indicator in the blood test, so now I have to go back. To make it worse, they scheduled the doctor’s appointment before the results were even ready, which means I am forced to wait another three months just to book yet another appointment.</t>
  </si>
  <si>
    <t>Unprofessional workers, bad attitudes, slow processing and poor visiting hours. Really recommend go to SGH (Singapore general hospital) or Tan Tock Seng hospital rather than this establisment if possible, where they actually care for the patients and not just surace treatment then go.</t>
  </si>
  <si>
    <t>I was involved in a traffic accident, resulting in multiple fractures to my right leg, collarbone, and one of my back ribs, accompanied by bruises across my body and approximately 30 stitches on my head, face, hand, and knee. I underwent two surgeries, which proved to be an extremely painful experience. During my 3 week recovery in the ward, I witnessed the extraordinary resilience of the human spirit through the exceptional patience, helpfulness, and professionalism displayed by all the nurses. Notably, nurses Soniya Matthew and Maria Kimberley from Ward 37, as well as Aye Thandar Win and Deepika Ria from Ward 55, embodied remarkable patience, helpfulness, and genuine care for their patients, inspiring hope and confidence in the healing process. Hopefully, their unwavering dedication to providing exceptional services to patients in need will be recognized and celebrated by management.</t>
  </si>
  <si>
    <t>7 Nov 0800-1500 Accompanied my wife for an endoscopy and the whole experience was HORRIBLE. CGH is now PAPERwork centric instead of being patient centric. Not ONCE did the Nurses/PSA proactively communicate what going on, without us pressing(only once) the bell to ask, and the staff's tone was cold and with no empathy. The next bed's elderly patient(who don't speak English) was complaining the same and she didn't know what's she was waiting for on an empty stomach since morning until 1430. And even after I help her raised the fact at least 3x that she couldn't speak English, there were no visible attempts on ENDO Centre part to get a staff who can converse with her in Mandarin, even there clearly were some Chinese staff available. I have experienced better service in THAILAND's hospitals.</t>
  </si>
  <si>
    <t xml:space="preserve">3 months ago </t>
  </si>
  <si>
    <t>I visited the A&amp;E at Changi General Hospital around 10:30 PM with an ear injury, as my ear was bleeding and I couldn’t hear. Despite explaining this to the triage nurse, I was repeatedly asked the same questions for documentation purposes, even though the urgency of my condition was clear. After waiting for hours, with no treatment provided, my ear continued to bleed. By 2:00 AM, no one had attended to me, and I left feeling incredibly frustrated and disappointed. The long wait times, lack of attention to my condition, and unnecessary questioning during a time of distress made the experience truly miserable, even though I was clearly categorized as a low priority. I hope improvements are made to ensure patients receive timely care, no matter their priority.</t>
  </si>
  <si>
    <t>Simply hopeless system, firstly all visitors must register with IC, phone number and then facial registration. Secondly, every patient strictly restricted to 2 visitors at one time, hence if more than 2 visitors, you'll not be able to enter. You'll not know there're already 1 or 2 upstairs, then realised you're not allowed to enter as 1 visitor already there. CGH has turned into a prison apparently as visitors are strictly kept to 2, and seems like security is so tight as if all patients warded are some very important personnel nowadays. Please look into improving the system, not going backwards with all these useless hopeless redundant upgrades!!! 😑</t>
  </si>
  <si>
    <t xml:space="preserve">8 months ago </t>
  </si>
  <si>
    <t>Worst hospital in my opinion. I went to emergency as i had migraines and intense pain after registering. I went to level 2 and waited. I went in it was packed after 3 hours of waiting everyone slowly seen their doctor and left. I went to clarify on when is my queue number and they throw me off and said “other people have been waiting longer you just got to wait” i instantly left the hospital. Poor service. Poor staff and lastly lacked of doctors which actually can attend to patients. I would never come here again</t>
  </si>
  <si>
    <t>Super noisy in high depency ward 44. CGH recently changed the visiting hour to 8am-9pm. Meaning whole day super noisy because there will always be visitors regardless of what time. Nurses also talking loudly. Shouting across the ward. How CGH expect the patient to truly rest. My dad can't sleep totally due to the constant noise and insisted to go home to rest but he can't go home. How??!!!! Some of the nurses are blur like sotong</t>
  </si>
  <si>
    <t>I brought my son, who had seizure, fell and cut his forehead here for clean up the blood, stitching and following up with his neurologist at the CGH. we arrived at 3am, waited 3 hrs to see a doctor for consultation, another 2 hrs for the ENT Doctor to stitch him up, then another 1 hrs to admit into for short stay ward. Overall, it was a long tedious wait for us but we found the doctors and nurses very professional. As for the long wait, we blamed those non emergency and inconsiderate abled persons who come to the A&amp;E for non emergency cases (Vomit, diarrhoea, etc), which we observed there were more than 50% such cases at the A&amp;E that night!)...these able persons should just visit the nearby GP rather than abusing the A&amp;E.!!</t>
  </si>
  <si>
    <t>At some point, it makes no difference whether it’s incompetence or malice. Long story short - my attending doctor at the ER “changed shift”, so my queue number went into some black hole “in the system”. Multiple nurses told me to keep waiting with a black face. I ended up spending more than 5 hours at the waiting area before I decided to tell them I was gonna go home. Then they suddenly managed to find a doctor to attend to me - about 30 minutes later. In the end, I spent almost 10 hours at the hospital. SGH, which is also part of the SingHealth network, is so much better. Fair comparison, right?</t>
  </si>
  <si>
    <t>If you ever wanted to experience what eternity feels like, CGH is the place to go. Their processes are so slow it feels like time politely stops to let them catch up. The default explanation for everything is “manpower crunch.” Why fix workflows when you can just keep using that line for the next decade? Doctors here move like programmed robots, emotionless and expressionless, keeping the same slow pace no matter how long the queue gets. The waiting area can be full, yet they still go about things one by one at the same speed. It is almost impressive how they can stay so calm while everyone else is losing patience. Credit where it is due, the nurses are the real MVPs. They are the only ones showing empathy and holding the system together. The doctors, on the other hand, are a disappointment. Many seem inexperienced and unsure, often giving vague answers instead of clear explanations. If that counts as confidence, then guessing might as well be part of the job. So yes, five stars for the nurses for their patience and professionalism, and minus four stars for the doctors for their inexperience and lack of urgency. Do the math, and that leaves a generous one star overall.</t>
  </si>
  <si>
    <t>I relate this review based on an experience of someone known to me being warded for almost two and a half months. Slow triage and admission that too for a patent with chronic age related conditions. It took two days to move from a&amp;e to ward. Later when listed for surgery, another whole day nil by mouth as they had no telling when the surgery would happen. Lack of updates - often times calling the hospital, being present and simple patent requests do not receive any concrete responses. The more critical, less updates. Please understand that family does not wish to harass anyone for not wanting to add on to a stressful situation. However if and when that happens, staff become defensive and have a classic line “you can speak to us respectfully” and further ignore the patient completely. There are a selective few nursing staff at the high dependents unit and (at ward 14) who were on the contrary dedicated and supportive not just in care but emotionally to the family too. ICU was the worst of all where a nurse claimed “forgetting to update” and made it next to impossiblet for family to be present, claiming that there was no space to place a handbag of a visiting next of kin. Hygiene and facilities maintenance -the stellar perception of public health service are certainly tarnished by this hospital’s standards. Public toilets are not clean and other hospital facilities do not meet healthcare standards. It’s scary to see scars and stains on patient linen. Visitor policy - the staff at the visitors registration are the worst of all pretentious, insensitive, not empathetic at all and their way of denying requests is mean and hurtful. There is evidently selective “free pass” that’s not for the genuine. In an emergency, they also selectively pretend not to understand the situation and deny entry.</t>
  </si>
  <si>
    <t>I am not sure if anyone experience their Patient Service Ambassadors. Wheeww. I do not know if they would talk this to their CEO in that manner, gosh. How lack of empathy , pushy attitude and the long face that they have. Honestly, it's not all of them. However, I do not know if it's a policy change. Always refer me to the app - healthbuddy. Said all it's there. So u are the HealthBuddy Ambassadors or You are there for the Patient and care for them? So I am not sure. If thats their KPI , well Singhealth. I think we need to address this!</t>
  </si>
  <si>
    <t>My boy was scheduled for a surgery after visiting the A&amp;E. Pre ops is not food/drinks for 6 hours. They kept delaying the surgery and no timing was giving at all, ended up he only had it at 4 pm. Something uncalled for. If they had to stave and torture my son for 16 hours, I'd had transferred him to another hospital. The doctors here seems very blur headed, not aware of what's going on. Shall be last visit to this horsepeter. Take my advise, don't let the doctors kill you in CGH = Cannot Go Home.</t>
  </si>
  <si>
    <t>Worse of the worse experience!! Mum in law was sent by ambulance ,she had a fall backwards,hurt her head and back,outside in a mall from the escalator and was made to wait sit on a wheelchair at the waiting zone from 2plus in the afternoon ,till we came to see her,by 6pm and until 1100pm ,on the Dashboard still "Awaiting for Admission". They attended other patients in the waiting zone and kept my poor,shivering in pain MIL , maybe due to the fall and no one has urgency to check or update how long more she will be warded or etc. She has scatches and red marks on her back due to the fall,and when i asked,if there will be treatment for that or lotion for the red marks injuries the Young Dr she said ,"Oh it will go off on its own.." I dont recommend Changi Hospital .Dont have sense of urgency. or proper system plan.Very2 slow..,one or two staffs can be quite rude with their tone of voice,especially ones that sits at the Waiting Zone counter and staff in the waiting zone..The nurses neglect to check or to take extra care of elderly patients especially when they are alone expecting the elderly patients to read from the tv the dashboard ,in the waiting zone rather to keep them comfortable and updated! As family members ,we do look forward to our loved ones being taken care in a good hospital as sometimes ,when accidents happen it can happen anywhere without us being around them!
...we hope next time, none of our family members shall be treated here.</t>
  </si>
  <si>
    <t>A hospital who does not care about the patients. I had skull fracture and was just released 1 month ago on hospital leave. I asked for follow up, only for the admin to 1. Not even let me explain the situation 2. Talk over patient all the time and not listening 3. Close the case because I have been discharged 4. I cannot even book appointment with the doctor from the private medical side Well done Cgh. I think you should stop being in this industry. I think understaff is not a reason to 1. Disrespect customer 2. Putting little value on someone’s life I hope that the lady who answered me in the call today a wonderful day and remember karma works really fast so hang tight 🙏🏻</t>
  </si>
  <si>
    <t>I am sharing this review to express serious concerns about my elderly mother’s recent care under the Geriatric Department and the Emergency Department at Changi General Hospital, in the hope that it leads to improvements for other patients and caregivers. My mother is an elderly patient with diabetes and dementia. During a geriatric consultation, she was started on a new diabetic medication. While a general blood sugar target was mentioned, there was insufficient explanation about possible side effects, warning signs to watch for, or the increased risks such medication can pose to frail elderly patients—particularly those with dementia who cannot reliably communicate symptoms.Shortly after starting the medication, my mother developed persistent symptoms including weakness, trembling, breathlessness, and severe loss of strength. She was brought to the Emergency Department on two separate occasions. On both visits, cardiac and respiratory causes were ruled out, and her symptoms were largely attributed to anxiety related to dementia. She was discharged without meaningful consideration of whether the recently started medication could be contributing to her condition.The symptoms continued after discharge. Only through our own monitoring did we later discover that her blood sugar had dropped to a dangerously low level, strongly suggesting that her symptoms were medication-related. This was deeply distressing, as earlier recognition could have prevented prolonged suffering and repeated emergency visits. What is particularly concerning is the lack of linkage between recent medication changes and presenting symptoms, especially in a vulnerable geriatric patient. Medication reconciliation and awareness of atypical presentations in the elderly are critical, yet this appeared to be missed. Follow-up consultation was also challenging. When concerns were raised about medication suitability and worsening dementia symptoms, responses felt dismissive and lacked clear guidance. As a caregiver, being told to “review medications” independently—without structured explanations or professional recommendations—was unrealistic and unsafe. I acknowledge the workload faced by healthcare professionals, but elderly patients with cognitive impairment depend heavily on clear communication, coordinated care, and proactive clinical reasoning. My experience fell short of what I expected from a tertiary hospital. I hope CGH will:  Improve medication counselling for elderly patients and caregivers Strengthen medication reconciliation during Emergency Department assessments Enhance cross-department communication for geriatric care I share this feedback in good faith, with the sincere hope that it contributes to better care and safer outcomes for other elderly patients and their families.</t>
  </si>
  <si>
    <t>Great experience at A&amp;E! I came to A&amp;E on 4th Jan night, for my injured ankle after a fall i had earlier that day. I was in pain and very uncomfortable as my ankle was very swollen. Instead of facing long queues and a crowded A&amp;E as i had encountered in the past, I found my recent experience very pleasant! The whole process was smooth and the nurses at the A&amp;E reception were friendly and helpful. A malay aunty came to help me adjust the wheelchair such that it doesn’t hurt as much. I was at orthopedics clinic minutes after, and there was an info guide given to us on the process which was really helpful. The staff on level 1 and 2 were knowledgeable and warm, guiding us well and giving clear instructions throughout. thanks CGH… i am now recovering well thanks to the smooth process and efficient staff!</t>
  </si>
  <si>
    <t>This is the second time I’ve experienced this issue at CGH. I was in pain and arrived at around 10 pm, but my number (3324) was still not called even by 1 am. The display board was already showing number 3360, and several people who came much later than me were attended to first.I approached the staff twice to ask what was happening, but they simply told me to wait for my number to be called. This is very disappointing and reflects poorly on the hospital’s service standards. In my experience, TTSH provides much better service and patient handling compared to CGH.</t>
  </si>
  <si>
    <t>worst staff at hospital… attitude was terrible for no good reason. I was told by another nice staff to sit and wait at an area outside of the Emergency department since my mum (the patient) already has my dad waiting for her inside (only 1 accompanying guest is allowed). This staff not only used a threatening tone to question/talk down at me trying to shoo me away, he even went to disturb a lady who was waiting at the same area as I was and came back to tell me her “reason”, telling me, “she can sit here because her patient is in admission. You?! Is your patient going admission??! Are you the patient? I can call security you know.” (At this point, I did not have a clear answer as CGH is shifting my mum around everywhere for the past few hours but yes I soon found out she is going to be needing surgery and warding for at least 2 weeks). Lol, how can someone so unprofessional and rude work at a place where empathy and compassion is needed the most??!?! I think he saw my tears and wanted to let me cry everything out is it :-) what a dude. CGH do something about it man. Don’t just hire any random cold hearted staff. If not for the need for urgent surgery and the long waiting hours in hospital in general, I would have transferred my mum out immediately. Update: 7 out of 10 staff are rude in CGH. I noticed most of these are outsourced staff. The management should really filter the right staff to be stationed at hospitals. This is a place where people find help after unfortunate things happen to themselves or their loved ones, so… we need compassionate workers even more than ever. And btw, I’m not even mentioning about how my mum is still not getting scheduled for a surgery after 4 days since she was brought in by an ambulance.A lady named Loh Yuen Hoe from Certis, stationed at the ward reception, is very helpful lovely and helpful though! I wish her great health and all the best 🫶🏼 thanks auntie! You’re the best staff out of everyone!</t>
  </si>
  <si>
    <t>Unfortunately there are lots of waiting and bottle necks. The drs are efficient and friendly though. But the system needs improvement. The pharmacy for one... we waited a long time. So many counters but only 2 were functioning. So many people were waiting. Such a waste of manhours.</t>
  </si>
  <si>
    <t>Consulted with Dr Vernon Chow on 28/1/25. Was very pleased with the entire consultation. He truly understands my medical condition (means he read up on my records thoroughly) and listened patiently before answering my many questions that we posed to him. Caring doctors are very rare nowadays, in my opinion lah. So thank you Dr Chow &amp; thank you CGH!</t>
  </si>
  <si>
    <t>CGH in my opinion is the best hospital ever and I will say this because My Doctor respect my decision when I denied to be sent to IMH because I had a very horrible experience there 7 times and I told him it won't make it better to send me there, He tries his best to put me in the small Psych ward they have. In the Psych ward the nurses are so sweet I have been going in and out of CGH Psych ward a lot and they make sure I don't feel lonely or bored by talking to me and they don't mind me just chatting with them about my day, Besides I feel safe and protected there!</t>
  </si>
  <si>
    <t>I wish to commend two staff members (one Indian lady and one Chinese auntie) on morning duty around 9.30am at CGH outpatient clinic on 20 February 2026.While accompanying my father for his appointment, my 4-year-old daughter unexpectedly vomited as she has been unwell with fever. The staff promptly showed concern and compassion, and kindly expedited my father’s consultation.Their empathy and professionalism during a stressful moment were deeply appreciated. Please convey my sincere thanks to them.</t>
  </si>
  <si>
    <t>My daughter visited CGH A&amp;E 3 times in 2 days. Finally sent to Raffles Hospital where she was warded and properly diagnosed.CGH is overwhelmed - fact. Service quality mixed. Medical protocol dangerously inept. She had severe abdominal pains and then an allergic reaction to something that warranted an epi injection. She was sent home by the "allergic reaction" doctor , without consulting the doctor for her abodominal pain! ( presuming she was assigned one) . Which was why she had the 3rd visit. Hospital is full , but they had no protocol to transfer patient to any other hospital.So we had to repeat all the test and more in Raffles.We cannot build another changi overnight, but can certainly have protocols to transfer patients , especially if patient ask to do so at their own cost and risk.Moh could invite private doctors to start night clinics for non emergency care near the hospital. Cgh can triage and offer the patients to go to these clinics.</t>
  </si>
  <si>
    <t>Date: 25 January 2026 Time: Around 9:30 Hrs I am deeply disappointed with both the communication process of the hospital and the professionalism of a doctor from the Lung/Respiratory department, Dr DANIEL, who attended to my uncle at Ward 45, Bed 32. My uncle was admitted due to breathlessness and COPD, yet no one from the hospital informed the family that he had been warded. We only found out because my uncle personally called us. Unfortunately, this is not the first time such a lack of notification has occurred.During a phone conversation with Dr DANIEL, he spoke in a rushed manner, avoided questions, and failed to communicate clearly with the family. I had to ask for his name three times, and the call was ended abruptly while I was still speaking. I did highlighted this matter to Nurse Sruthy &amp; Staff Nurse May regarding about this matter. I raised a genuine concern regarding the plan to discharge my uncle despite him still sounding breathless during the conversation. This concern was not addressed professionally, and the explanation given attributed his condition mainly to haze, which did not reassure us given his COPD history. As a family member, I expect basic courtesy, clear communication, and respect, especially when patient safety is involved. The lack of proper notification and poor communication caused unnecessary distress and raises serious concerns about continuity of care.I sincerely hope the hospital management will review this matter seriously and improve both staff communication and professional conduct.</t>
  </si>
  <si>
    <t>Thank you CGH, Day surgery went very smoothly, a huge thanks to the nurses and Dr Grace Raj for the smooth operation and taking the time to explain everything to ne clearly. The observation room and discharge area were confortable as well</t>
  </si>
  <si>
    <t>Should have checked the reviews before coming here, but it was an emergency.My wife had a suspected bone fracture. We managed to get an X ray done within the first hour, which was fine. After that, no one attended to us for a consultation for more than three hours.We decided to cancel and go to another hospital instead. To be fair, I informed reception of our decision and paid all remaining dues with the cashier before leaving.While we were on the way to the other hospital, they called us. The call got cut off, and I tried calling back several times with no answer. About an hour later, they returned the call and told us the X ray results were ready and confirmed my wife had a fracture.I asked for a copy of the X ray report since I had already paid for it. They said they could not email it. I offered to come down personally to collect it, but they refused that as well and advised us to resume consultation there, in a manner that came across as passive aggressive.In the end, the new hospital managed to retrieve the same X ray records anyway, so there was no need for that attitude.</t>
  </si>
  <si>
    <t>The overall experience has been excellent. Met with very helpful &amp; friendly admin staff, porter, nurses when I brought my auntie to emergency department on 30 Sept 2025 late afternoon. Meticulous care from Dr Aylin has made my aunt felt at ease. The nurses and admission staff were excellent too. If not for the staff nurse and nurses there who repeated ignore my call for help (they did not even bother to ask what is it that I want) at Transit Place, I would have rated CGH 5 stars. I’m not expecting immediate help. But they shld at least listen to what help I required b4 telling me to wait. If it’s life &amp; death, my aunt would have died. Shame on the nurses in Transit Place 👎🏻</t>
  </si>
  <si>
    <t>Visited Changi General Hospital on 9th Feb2026 at 4.30pm - Hearing Aid (2B EHN) I am extremely grateful to the audiologist, Dr Savitha Kamath at the Changi General Hospital who went above and beyond to help me with my damaged hearing aid. Despite a busy schedule and past working hours, she ensured I received a new set and explained its use thoroughly. Her kindness and dedication are a testament to the excellent care at CGH.Highly recommend! 👍</t>
  </si>
  <si>
    <t>I had been a patient of CGH since I was 20. Now after almost 30 years I must say that CGH has improved tremendously. Their service is just beyond expectation where you can see their passion in prioritising patient’s health and holistic wellbeing. CGH has truly make a big difference and by far the best in their service. I am proud to be an east sider knowing that we have a reliable healthcare provider for our community. Well done CGH!! Everyone of you plays a part to create this strong Team, Kudos!!!</t>
  </si>
  <si>
    <t xml:space="preserve">1 month ago </t>
  </si>
  <si>
    <t>My experience with Changi General Hospital has generally been pleasant across the Emergency Department, specialist clinics, and other wards. However, Ward 57 in the Integrated Building (IB) has unfortunately been a very different experience. Service in this ward has been slow and coordination appears to be poor. There were several occasions where instructions or arrangements made by specialists were not carried out by ward nurses, and updates to patients or family members were often lacking. This created unnecessary stress for family members who are trying to ensure their loved ones receive proper care.From my observation, some of the nurses in this ward seemed impatient and disengaged while attending to patients and communicating with family members. Compassion and clear communication are extremely important in a hospital setting, especially for families already going through a difficult time.I also overheard another patient’s family member expressing similar concerns about the lack of patience and empathy shown by some staff. It suggests that this may not be an isolated experience.I truly hope the hospital management will look into the service standards and coordination within Ward 57, as my overall experience with CGH outside of this ward has been much better. Patients and families deserve consistent care, professionalism, and clear communication across all wards.</t>
  </si>
  <si>
    <t>I had to visit A&amp;E unexpectedly and was very impressed by the efficiency and professionalism of the team. From admission through investigations and final review, the process was smooth and well coordinated. The nurses were patient and attentive, and the doctor took time to explain the findings clearly, which was very reassuring. I am grateful for the prompt care and the calm manner in which everything was handled. Thank you to the entire team for the excellent service.</t>
  </si>
  <si>
    <t>The majority of the reviews here are unfortunately accurate. The service at this hospital is atrocious. The staff often take no responsibility for their inability to perform their work properly. An example of this is how they had incorrectly applied a bandage, took an x tray. I understand this is a teaching institution, however, the supervisors and management have to take the onus of ensuring the subordinate and trainees are indeed performing their job properly. Furthermore, the wait time for a scheduled appointment is more than 90 minutes past the allocated time, which makes me think how inefficient the staff are at being time conscious. Management needs to have better controls to ensure the SOPs are met. These make me wonder how this hospital is promoting its recent ‘awards’. Perhaps just a PR stunt to take away from the actual negative experience from the patient stakeholders. Do not recommend this hospital at all. Please do better.</t>
  </si>
  <si>
    <t>I went to this Hospital with 24 Hour Urgent care this morning and from start to end, staff from Check in are very accommodating and prompt service. They escort you wherever the doctor asked you to do just to make sure you wont be wondering around looking for the place and not getting lost. And since I don’t have Singaporean Medical Insurance they make you choose what procedure need to be done. The elevator itself is immaculate no hand print anywhere shiny and spotless. Staff are courteous and very approachable. I’m out and about after short period of waiting. Thank you Mt Alvernia 24 Hour Urgent care!</t>
  </si>
  <si>
    <t>I delivered my baby via C-section at Mount Alvernia Hospital and stayed in the Our Lady ward. The facilities are new and well-maintained. The toilets were cleaned daily, bedsheets were changed regularly, and the floors were also kept clean, making for a comfortable and hygienic environment.
The nursing staff were exceptionally helpful and prompt in assisting patients. A lactation consultant also visited during my stay twice to teach breastfeeding techniques, which was especially beneficial for first-time moms.
Overall, I had a pleasant stay here and was missing the great service when I returned home</t>
  </si>
  <si>
    <t>Nice and clean environment. The nurses and staffs are friendly especially nurse Angel Chang! She is super friendly and she knows how to make me feel safe after the surgery. Very thankful to have her.
Everything is good except an episode when I had skin reactions on both my bums when sitting on the chair inside my room- 7008. Redness and super itchy. ( I'm wearing the surgery robe). Managed to feedback to their nurse in charged. But sadly she could only come 'save' me with medicated cream 4hrs later. I heard from her that she has a 'full house' today.</t>
  </si>
  <si>
    <t>I want to express my sincere appreciation for customer service officer - ms chan si mun’s help during this administration process on 27 March 2025, morning.
Her patience has truly stood out, and I’m especially grateful for how she took the time to explain the entire payment process via different insurers, medisave, The way you clearly outlined each step and provided the necessary details made everything much easier to understand and making decisions. Also reminded us of the parking vouchers for patients who drives, with details on claims.
Your support and dedication have made a potentially stressful experience much more manageable, and I truly appreciate her kindness and effort throughout.
Thank you ms Chan Si Mun once again for being so helpful and patient.
I Compared customer services with parkway - mount e novena which I just visited on 25-26 March - for urgent care, certainly mount alvernia customer care team has more sympathy and think from customer pov mindset. Keep it up!</t>
  </si>
  <si>
    <t>Very unprofessional service provided by this Private Hospital.. Red flag!
From my personal experience during my admission, I saw they engaged intern doctor or nurse to poke on my hand for an IV drip and yet can't find my veins which causing bruises for 1 week plus (FYI, my hands are full of veins as I am lean body type)..Before that, the senior nurse decided to needle poke my left hand (I am right-handed) but the "intern' said can't find vein then proceed to my right-hand w/o asking my permission and link to story above.. After seeing failure, the senior nurse decided to poke my left-hand near the thumb area and successfully done. I mean what the hell are they doing?
I can said paying premium price to get subpar services from Private Hospital. They don't even show me the medical bill incurred upon discharge as promised by the nurse during my registration. Are they trying to amend the bill and anyhow claim from insurance companies? (I got both company and private insurance)
I am extremely disappointed with this hospital and I somehow understood why there are lots of bad reviews for this hospital for a reason. If got Zero star I definitely will rate it.
The management of the hospital doesn't even care on the feedback to them and do nothing about it.</t>
  </si>
  <si>
    <t>Went to visit a friend and his wife who gave birth here last night. Generally it is a quiet hospital. Not too crowded but has plenty of parking space. Very minimal security but staff are very friendly and attentive. Signage however are quite lacking and the arrows are quite misleading. Lifts are definitely faster but the corridors are dimly lit and quiet w doors squicking. Eerie indeed. But the wards and rooms are well furnished. Single rooms are not as spacious. Feels very cramp as compared to other hospitals.</t>
  </si>
  <si>
    <t>We’re incredibly grateful for the wonderful team of nurses who stood by us during such a special and life changing moment. As first-time parents, we were nervous and unsure but the nurses guided us with so much care, patience, and warmth.
Everyone we encountered from the nurses and cleaners to the chefs made us feel welcomed and supported. Their kindness truly meant a lot to us during this important time.
The only thing that dampened the experience was the air conditioning in our room. It couldn’t be adjusted due to a technical fault, and despite raising the temperature hours before, the room stayed too cold which made us worried for our newborn's comfort. It was frustrating when the maintenance team simply brushed off our concern with “it takes time,” even after we explained how long we had been trying to fix it.
Still, the care we received from the medical and support staff far outweighed this hiccup. Thank you all for taking such good care of our little family. We’ll always remember the warmth you gave us even if the room was cold.</t>
  </si>
  <si>
    <t>A wonderful hospital, very good staff, especially the nurses. They will always help, support and calm. Comfortable room, food is very tasty. I highly recommend it!</t>
  </si>
  <si>
    <t>My wife had her eye surgeries over 2 weeks, right eye on 12 Feb and left eye on 19 Feb. Since these were day surgeries, she was warded in the Day Ward on Level 4.
I must say all the staff, from admission, to the Day Ward to the Operating Theatre, were very professional and courteous.
There are super friendly and one of the staff saw me putting my laptop on my lap actually push an extra table to me to place my laptop.
We greatly appreciate the hospitality, care and service excellence we received.
THANK YOU!!!!</t>
  </si>
  <si>
    <t>All the staff at Mt A were super efficient and nice! I want to especially compliment a male staff member from the Business Office, as he provided me with a lot of helpful information regarding my insurance claim. Although I didn’t get his name, he was the one who spoke very fast (though I could still catch what he said). Kudos to him for being so helpful and informative!</t>
  </si>
  <si>
    <t>Initially I was a bit worried after reading the negative reviews on Google but so far my day surgery experience at Mount Alvernia had been super pleasant. The nurse who attended to me at the ward, Rosi(?) Was super cheerful and made me feel at ease as it was my first day surgery experience. The other nurses were attentive too.</t>
  </si>
  <si>
    <t>I was in this hospital from 5th October/16 to 11th October. I was digonosed with cancer in my right kidney. I got admitted for immediate right kidney removal surgery. I was in St.Dominic ward in room St. Jacob. OT is excellent, room is excellent, very clean. Doctors are very expert, except one nurse I found all the nurses very caring, humble and highly professional. Though it is Christian missionary hospital and I am a Muslim patient from Bangladesh, hospital served me Muslim food.
But office seemed little beat lengthy.</t>
  </si>
  <si>
    <t>I was admitted in Mt Alvernia for a surgery on the eve of Good Friday. Despite being the long weekend holiday period, all the doctors and nurses took great care of me. Even the doctors in the operating theatre ensured that i was going to be well taken care before i went under GA. Nurse Gayatri from St Raphael Ward/8014 took great care of me. I had to frequently use the washroom and she patiently held me and brought me to the washroom and back to my bed multiple times and never once showed any sight of annoyance. She made sure to check on me to see if im fine before her shift ended and came back to check on me when her shift started. I am very grateful to Nurse Gayatri and the team at Mt Alvernia for providing such excellent service. Thank you and keep up the great service!</t>
  </si>
  <si>
    <t>Doctor Jesse and staff here are very friendly and kind, making me feel peaceful and grateful. There is still a free shuttle bus available from Bishan MRT.</t>
  </si>
  <si>
    <t>I had a wonderful experience at Mt. Alvernia, St. Anne Mother and Child Centre, St. Raphael Ward, when my family and I welcomed our 2nd child. The staff was incredibly caring &amp; attentive, making us feel comfortable &amp; well-supported throughout our stay. The team demonstrated a high level of expertise, and the facilities were clean and well-maintained. We couldn't have asked for a better place to bring our child into the world. Thank you to the entire team for their exceptional care &amp; support during this special time in our lives.</t>
  </si>
  <si>
    <t xml:space="preserve">Had a great experience giving birth at Mount Alvernia Hospital. The nurses were attentive, and highly responsive, ensuring that I felt supported and cared for throughout my stay.
My obstetrician, Dr. Adelina Wong, was instrumental in guiding me through my pregnancy and labor. Her reassuring demeanor, and professionalism provided immense comfort during this journey.
Dr. Yvonne Lim as my anaesthetist during my C-section. Her expertise made the epidural administration nearly painless, and her calming presence throughout the procedure made me feel safe and at ease.
Deeply thankful to the entire team at Mount Alvernia Hospital </t>
  </si>
  <si>
    <t>I am extremely disappointed with the outpatient lab at Mount Alvernia Hospital. My three-year-old child was subjected to an unprofessional and rough blood draw by a nurse who clearly lacked the skill and patience required to handle young children. The experience was unnecessarily traumatic for my child, especially when compared to the far more competent and gentle approach we previously encountered with the urgent care staff at the same hospital.
What makes matters worse is the hospital’s complete lack of accountability. I submitted detailed feedback through their official portal over a month ago and have yet to receive any acknowledgment, response, or apology. This silence is unacceptable for a healthcare institution that claims to provide compassionate care.
Children deserve to be treated with gentleness and respect. Parents deserve assurance that feedback will be taken seriously. I demand a proper response and apology from Mount Alvernia Hospital, and I sincerely hope that the outpatient lab staff are retrained to ensure no other child has to go through what mine did.</t>
  </si>
  <si>
    <t>At first was told by nurse that the report would be out for 1-2 hours, checked while it has been 2 and half hours and the nurse had not good attitude and said the doc is printing the report and will be my turn very soon, but in the end waiting for 3 hours long. I fainted and lost consciousness before coming to this hospital, and the environment is totally not suitable for a patient like this to wait for this long. The hospital should give patients correct explanations and consider the patient’ conditions, at least with better attitude</t>
  </si>
  <si>
    <t>My husband and I had a pleasant 4D3N at St Anne’s maternity ward. From pre-admission to discharge it felt like I have met more than 20 different staff and they are all knowledgeable, helpful and friendly. We also enjoyed most of my meals and is always looking forward to the next one (tea break inclusive). Took the most basic single room and it was pleasantly bright (full length window), new and comfortable. (My first stay I slept in 2-bed room by the door in the old building and I must say it felt depressive). Overall experience felt like a staycation.</t>
  </si>
  <si>
    <t>I wan to recommend for ob gyne dra Candice..she’s very awesome cool nd professional doctor..she make my giving birth unforgettable very painless..thank u dra Candice for everything..and I wan to thanks the staff at mt Alvernia from the delivery suite to my room Dey very polite caring nd very attentive..thank u so much..</t>
  </si>
  <si>
    <t>Was admitted in Mt Alvernia earlier this year in March, in the ICU for one night and four nights in general ward.
I really appreciate how there was much less waiting time and didn’t have to crowd with others to wait for a bed. Their service was swift despite the evening time and only one or two doctors available. The air conditioning was good too so it didn’t feel stuffy or suffocating. It was quite difficult as I was previously at TTS waiting for a bed for hours before I decided I wanted a transfer to Mt Alvernia.
It does get quite hard to rest but it’s because the nurses come in to check on you often. I do appreciate the nurses are quite thoughtful and kind. Food was basic hospital food that I didn’t quite had the appetite for. Thankful that there was a food court outside with ban mian so my husband was able to have that takeaway for me when he visits.</t>
  </si>
  <si>
    <t>I was hospitalised on the 4th Sept, discharged on the 6th Sept, room 8003.
I would like to thank Dr Lee for his assessment on my condition. He was very patient, funny and also asked great questions to make sure that I was okay.
I would like to thank the nurses and caretakers who took care during my stay. They were efficient and seamless.
The food and drinks were okay. Nothing spectacular and I am not complaining about it.
Thank you Mount Alvernia Hospital, Dr Lee and Nurses.</t>
  </si>
  <si>
    <t>Overall nice experience here. Check in and check out was fast. However, if you check out at peak hour, there will be some wait. It’s still faster than Parkway East as there’s more than 2 counters.
The ward and room goes by name instead of number so it can be a little difficult to locate.
Service from doctor and nurses are good.
Food menu selection is good and food is tasty too.
2 bedded room is more spacious than Mount Elizabeth. However, they also do not provide headphone unlike Parkway East. So expect noise from your neighbour’s TV.
Plus point is plenty of parking spaces.</t>
  </si>
  <si>
    <t>Hi, kindly look into your day surgery recovery ward.
The place is a complete mayhem.
Very noisy and way too much traffic for any unwell person to rest.
Also insufficient toilets.</t>
  </si>
  <si>
    <t>Underwent an op and was warded for a 2 night stay at St Dominic. The doctors and nurses were professional and attentive. They were also incredibly cheerful which made a huge difference. Their friendly smiles, reassuring words, and genuine care made the atmosphere feel warm and comforting. It was my first "major" operation that included overnight hospital stay. Thank you!</t>
  </si>
  <si>
    <t>AOSC got to work on their time management. We were 5mins early to appt the previous time, we were made to wait 20mins. Next scan, we were late by 10mins for 9am appt since we'd have to wait anyways. They made us wait and allow the 930am appt to go ahead first (the scan took 20mins). Been here for more than an hour just to wait while hearing the recept cough her lungs out without putting on a mask. Please be aware of the industry you are working with. They are all pregnant mums with weak immunity.
Edit: just found out that their 3D photo imaging is at a 'package' price of $97. Whereas Mt E had the option of $28 per photo which offers more flexibility.
Not 1 star for the professionalism of the sonographer. Everything else has to be improved.</t>
  </si>
  <si>
    <t>Admission took almost 1 hour and 40 minutes although the Q slip states 5 min waiting time!
Noisy due to construction. Should not have chosen here. So have requested for single room but was awarded in a four bedder, co-roomates noisy talking at night
Discharge slip also states 5 mins. Time in 12.12. It's now 12.28. . Praying that it will not take another hour and forty minutes.</t>
  </si>
  <si>
    <t>A private hospital with a variety of specialists clinic. Staff/Nurses at MAH are generally helpful and professional. Not much qalms about them.
Admission/payment is at Level 1 lobby.
Basic amenities available on site; washrooms, water dispenser (only at level B1), car park (at a fee and not cheap). Shuttle bus available daily, do take note shuttle bus timing.</t>
  </si>
  <si>
    <t>I was very nervous during my medical checkup, especially because of the language barrier. I’m deeply thankful to Chan Hui Xian Jane for staying with me the whole time — her gentle care, patience, and professionalism made me feel completely safe and supported. She truly went above and beyond, turning what could have been a stressful experience into a comforting one.</t>
  </si>
  <si>
    <t>Delivering at Mt Alvernia was the best decision ever! While we had initially considered a different hospital due to recommendations from family and friends, we had a change of mind after our maternity tour here.
Through our 3 nights stay with Alvernia, almost everyone we encountered was so sweet and helpful. During the birthing process especially -- despite the tension being high in the labor room, I was glad that we were surrounded by really positive nurses, midwives, and of course, our gynae too who were so assuring the whole time.
The lactation consultant was also very warm who gave off loving, motherly vibes. We returned to see her abt 2 weeks after discharge as I was stressing over breastfeeding and I felt very much at ease with her empathetic behavior. While she continued to encourage breastfeeding, she constantly reminded us to also prioritize our mental well-being and our baby's needs as well.
Facilities wise, truly nothing to complain. We stayed at one of the suites and it was clean and very well maintained. The meals were decent but still better than most hospital meals we've ever had and it's great that there were options to choose from!
I can confidently say that my experience with Alvernia was so memorable that I'd choose to deliver here again if I'm ever pregnant again in the future! Thank you to the maternity team for taking care of me and baby well during our stay! :)</t>
  </si>
  <si>
    <t>I was in Mount Alvernia Hospital for surgery and stayed for 1 night. The staff in the hospital, especially Caneos Kharine Magbanue, was very helpful and encouraging. It was very painful after the surgery and I am not able to move my leg. Kharine was very patience with me despite me making multiple requests because of my immobility.
Thank you, Kharine for looking after me during my stay in the hospital.</t>
  </si>
  <si>
    <t>Thank you to the nurses of St Dominic ward (single room) for taking very good care of me. They are friendly and prompt in attending to calls. The peaceful environment helps a lot in my recovery.</t>
  </si>
  <si>
    <t>Felt really taken care of during my stay. Was warded for 2 days and everyone from A&amp;E to gynae ward, doctors and discharge were so kind and patient. The ward itself was also clean and comfortable! Will be delivering here in a few weeks and am assured that i’d be well taken care of.</t>
  </si>
  <si>
    <t>I delivered at this hospital in 2022 and was unfortunately not satisfied with the nursing care provided to me and my baby. Although I was admitted to a single-room ward, I did not experience better service and felt that even basic care was lacking. After delivery, I was transferred from the stretcher to the bed in a very rough manner, which caused significant pain. When I had questions regarding my baby’s care, the nurses were often impatient, dismissive, and unresponsive, which made the overall experience very distressing. I am generally not someone who asks many questions, so this was particularly disappointing.</t>
  </si>
  <si>
    <t>Thank you to the Doctors, Nurses, Business Office Staff, Housekeeping Staff, Reception Staff, and All Other Hospital Staff, for the kindness, compassion, patience, and professional excellence in care and service, for helping me during my 2025 gastro-intestinal surgery. Thank you for the ongoing care in my post-surgery outpatient medical recovery. Wishing you all a Blessed Merry Christmas on 25-December-2025, and a Happy Upcoming New Year 2026!</t>
  </si>
  <si>
    <t>On 15 Dec 2025, my husband went for shoulder surgery, surgery completed at 11.30 AM. The anesthesiologist gave morphine few hours after surgery is completed / few hours after porridge lunch was given. Why giving morphine without providing supplement meal? Dont you guys supposed to coordinate with each other? I asked the nurse team and they said it is not their policy to provide additional lunch, they could only give biscuit, are you serious giving biscuit to patient when taking morphine?? After disharge is done I asked the nurse team to get the medicine delivered at ward, they said no, patient have to present themselves at pharmacy, are you serious Mt Alevrnia?? And then lastly one of nurse team called my husband after he reached home and told him that they forgot to give him the ice pack that doctor prescribed. Am i paying for lower class below third world country hospital here??</t>
  </si>
  <si>
    <t>I dont keen to leave a review most of the time but for this, yes ! My firstborn was delivered in KKH A ward and the nurses there are helpful, caring and attend to your needs or even beyond there. The nurses are initiative to assist if you were delivered under csec especially as a walking aids. For Mount Alvernia, lack of nurses while charges are on higher note ! The nurses are very rush by come and go , while didnt even assist when the mother need help. More ridiculous, the hospital dont even offer a nipple cream for the mother during hospital discharged (comparing to Thompson medical). The standard is overrated indeed. I guess this would not be my second choice again if given an opportunity.
I choose Mount A initial due to the last cancellation of my gynae in Kkh . Yes, the Dr is mild and caring but for me to rate the hospital level, the management should look into this matter for improvement. Lastly, i want to mentioned that the Anesthetist in Kkh is way more professional and less painful compare to the standard in Mount A.
Sincerely from a mother, i hope the management able to improve the quality of the nurses and also nursery side. No proper brief or knowledge given for feeding compare to government hospital. The pharmacy as well, with lack of medicine given and without instruction .</t>
  </si>
  <si>
    <t>Was their loyal customer for a while. This time round the experience was rather unpleasant. my domestic helper had recurring fever for 3 days and I thought better send her down for a check. Doctor verified that yes this is serious enough to warrant a check. Arrived at 8pm and there wasn’t many patients at that time. Doc did blood test (twice) to verify if she has dengue and put her on drip?? Halfway through more patients came trickling in and the nurses seemed overwhelmed. So I guess that justifies for their bad attitude when I asked if someone can assist her in removing the completed drip so we can go off.
Waited 4 hours to do some simple blood test and the only conclusion was it was not dengue and she can go home and rest with anti nauseous anti diarrhea medication. Billed $700 bucks for something a regular clinic could have done for less than $100 without the premium service that wasn’t really necessary. Lesson learnt, do not go mount alvernia if you are expecting private hospital’s prompt and friendly service.</t>
  </si>
  <si>
    <t>I submitted a valid corporate Letter of Guarantee in 2024. More than a year later, the hospital contacted me saying there was no response from the insurer and tried to make me personally liable.
This is not acceptable. Following up with insurers is the hospital’s responsibility, not the patient’s. Any internal delay or lapse should not be pushed to patients after such a long time.
For a private hospital, the lack of ownership and accountability is disappointing. If you are using insurance, do not assume the hospital will follow up properly. Chase everything yourself.</t>
  </si>
  <si>
    <t>I felt in a hospital , they should manage the room properly, understand that they renovating the place. But if the room is not clean and restful, they should at least tell the patient about it, suffered the entire night with pains after surgeon and with not restful sleep. Except for the fact that the nurses were still very attentive and nice.</t>
  </si>
  <si>
    <t>his is my first time staying in this hospital and it is hell of nightmares for me. On the 1st day I was warded, I have informed the hospital that I have a Insurance policy in place and my policy cover me for a single bed ward. Hospital informed that occupancy for single bed is full and only six bedder room is available. They will upgrade me once it is available but that never happens even when the two bedder next door are not occupied. During my stay, there are on going hacking works that extended till 9 pm. It only stopped when another patient complained. On the 2nd day, the nurse told me that i have to fast for 6 hours as they need to do a scope test for me at 2pm. At 3pm, no one came and my husband had to go and ask the nurse. The nurse then informed that due to miscommunication they had omitted my test. Shouldn’t they have the courtesy to inform us earlier instead of letting us wait. The nurse even has the gut to say that as a kind gesture they will waive the surcharges as the scope test is done after 5pm. My appointment is confirmed at 2pm, they screwed it up and expect me to pay for it? After my scope test was done, the attending Dr say that I probably can be discharge today and he will review me at 7.30pm. By 8.00pm no one came and my husband had to approach the nurses and was surprised by the reply, “ Call dr no answer, message dr no reply!”
This hospital management seriously need to wake up on their service standards. They totally have no concept on time. This is so unprofessional!</t>
  </si>
  <si>
    <t>The nurses in the 6-bedder ward are much more attentive and caring than those in the 1-bedder ward. Why is that? Why am I paying so much more for poorer service? And how is it acceptable for your nurse to show attitude and speak to me rudely, as if I were her friend? As a patient, do I not have the right to say I’m in pain and request a gauze change?
I waited 20 minutes just to be told “no.” That is unbelievable. I wasn’t even being demanding. I saw your nurses rolling their eyes when I asked for help—so what exactly am I paying over $1,000 a night for? I might as well stay in the 6-bedder ward, where the nurses actually show care. If not for the noisy environment, I would never have upgraded my ward only to receive worse service.
Perhaps it’s time to review your staff’s attitude and level of patience. You don’t need a facility upgrade—you need a service upgrade. I fully understand how difficult their job is, and I have not been a demanding patient. But empathy is the key here.
This is my first operation and my first hospitalisation. I chose this hospital expecting the best treatment, regardless of the premium. Instead, I am left feeling disappointed</t>
  </si>
  <si>
    <t>Was warded with 1 night stay. The nurses who took care of me were professional and nice! During admission and discharge, the counter staff explained everything clearly and ensure we understand everything before signing off. The receptionist I supposed, stationed at St Anne mother and child building assisted with my wheelchair and ensuring I board the Grab safely. It's a very comforting stay in the hospital.</t>
  </si>
  <si>
    <t>I would like to commend the nursing team from St Raphael ward for the outstanding care provided to my dad during his recent surgery and recovery. The nurses were consistently professional, attentive, and compassionate, ensuring his comfort and safety across rotating shifts. Their seamless teamwork gave us great confidence in the quality of care my dad received.
I would specially like to mention the following nurses - Jenny, Shan, Chong, Tryphena, Mazurah, Sharyl, Clarice, Grace and Hazel, whose dedication and empathy stood out.
In particular, we were very impressed with Jenny, who demonstrated exceptional attentiveness and kindness. Weifang, the senior phlebotomist, was also very experienced and observant when drawing out the blood samples from my dad. He was truly impressed by her thoughtfulness and skillfulness in drawing out the blood samples.
In addition, also the St Francis Ward Team 1: Marlyn, Chloe, Sofia and Team 3: May, Kaiven who looked after my dad during his pre-surgery stay.
We are appreciative to all these nurses and the rest of the team for making a challenging time so much smoother for my dad and our family. Thank you all!</t>
  </si>
  <si>
    <t>Amazing experience with the staff from St Raphael ward and excellent employees all throughout my hospitalisation on 22nd November, Saint Maravilla's room for my hemithyroidectomy.
The food was excellent, the cleaner, nurses and overall experience.
I requested for oxygen for sleep apnea each night and the did it every night!
The nurses were very gentle and very polite!
I wish all hospital experiences were like this!</t>
  </si>
  <si>
    <t>I recently brought my mother to the Urgent Care Centre for a consultation following a trauma incident. We had the fortune of being seen by Dr. Lo Ying Tai, to whom we wish to extend our deepest gratitude and compliments.
From the moment we met him, Dr. Lo's calm and professional demeanour put us at ease. He conducted a remarkably thorough and gentle examination, and took the time to explain the results to us with patience and clarity, ensuring we understood every detail.
What truly stood out was his collaborative approach. He didn't just dictate a plan; he presented us with clear, reasonable options, discussed the pros and cons of each, and offered a thoughtful recommendation that considered my mother's overall well-being. He made us feel like partners in her care.
Dr. Lo's combination of expertise, compassion, and clear communication was exactly what we needed. We left feeling informed, reassured, and in capable hands. He is a credit to Mount Alvernia Hospital, and we cannot thank him enough.</t>
  </si>
  <si>
    <t xml:space="preserve">Went for a day surgery today and met with the kindest and sweetest hospital staff. I want to extend my deepest appreciation for the team that supported me at day ward 3, as well as the surgical team. I entered the procedure room with so much anxiety, but was immediately put to ease with light hearted conversations, a warmer under my blanket to feel less cold, gentle music and a cherry blossoms slide show when I told them the big xray tv looked intimidating. Having been through many bad experiences with other medical professionals, I cannot emphasise how impactful these kind interactions were for me today. Immensely grateful to the team at Mount A! </t>
  </si>
  <si>
    <t>Avoid this hospital at all cost, biggest mistake ever. First time here and it’s already a nightmare. Among all the private hospital I’ve visited, this feels like govt hospital standards. The standards are appalling. Requested for a single room, none. Two-bedder, none. Four-bedder, none. And where do they put the patient? Right beside a blasting construction site at St Francis ward.
Asked if at least the bed could be changed away from the noise or other wards, answer was still no. Imagine paying private hospital prices only to be told “nothing can be done.” What kind of hospital management thinks this is acceptable? Leaving patients shivering from feeling sick and unable to sleep due to the construction workers right outside the window beside us screaming, shouting and drilling. All we were given a form and told to be understanding and wait till the construction workers end work.
The room booking team is an absolute disgrace. They should come down themselves and see what they are putting patients through instead of hiding behind excuses.
This place calls itself a private hospital, but the experience is worse than a budget ward. Truly the worst decision to ever step foot here. Do yourself a favor and AVOID.</t>
  </si>
  <si>
    <t>My wife and I recently welcomed our baby boy at Mount Alvernia, and we are extremely grateful for the amazing care we received. All the staff from the nurses to the doctors were incredibly professional, gentle, and attentive throughout my wife’s delivery and recovery. They made the whole experience smooth and reassuring for our family.
I want to give a special praise and thanks to nurse Pumaren Bituin. She took exceptional care of our newborn son. She is very friendly, caring, and speaks to our baby so gently. When our baby suddenly choked on thick saliva, her quick response and calm actions helped clear the blockage immediately. We are truly thankful that she helped save our baby boy in that moment.
Thank you, Mount Alvernia, and especially Pumaren Bituin, for your kindness, dedication, and genuine care. Highly recommended for all new parents.</t>
  </si>
  <si>
    <t>I was admitted to Mount Alvernia for a couple of nights due to a gastrointestinal virus, and I’m truly grateful for the care I received from the nursing team at St Gabriel.
When you’re feeling at your worst, small things matter a lot. The nurses were attentive, patient, and consistently kind. I felt well looked after throughout my stay.
I especially want to thank Nurse Epe. She cared for me with such natural warmth and attentiveness. she was present, calm, and genuinely caring. She checked in regularly, made sure I was comfortable, and responded quickly whenever I needed help. Her steady presence made a difficult time much easier to get through.
Thank you to the entire nursing team for the professionalism and compassion you show every day. It truly makes a difference.</t>
  </si>
  <si>
    <t>We would like to give Zero stars if possible. Poor communication between ward nurses and porter who was so rude. The nurses put words into our mouth and claimed to the attending surgeon that we would like to be discharged asap?! Even though my girl was still unwell and recovering from GA?! The nurse used an alcohol swab to wipe my girl’s fresh surgery wound which left her screaming in pain. We cant help but question if the nurses were medically trained or not. Very poor and traumatising experience. we were recommended by our surgeon to use this place but we would definitely not recommend anyone to use their services at all cost. Such a nightmare and distressing first and last experience here. Horrible.</t>
  </si>
  <si>
    <t>a full fledged tertiary level hospital with patient friendly environment, facilities and skilled doctors and nurses. not to mention it’s services are pricey.but if you want best treatment it’s quite an option.</t>
  </si>
  <si>
    <t xml:space="preserve">I would highly like to recommend this hospital. Definitely my favourite and top notch service. </t>
  </si>
  <si>
    <t>They are horrible for blood testing with babies- it was traumatizing for my LO. Nurse couldnt find the vein kept poking in.</t>
  </si>
  <si>
    <t>I truly appreciate the valet team’s efficiency and friendliness, making my visit smooth and pleasant.The valet staff were so attentive and welcoming – it really made a difference in my experience.👍🏻 …</t>
  </si>
  <si>
    <t>Almost like an upper class hotel! A huge medical complex but finding your way around is easy with clear signage and helpful staff. Receptionists at the relevant section was effective and friendly. My treatment was very professional with a personal touch.</t>
  </si>
  <si>
    <t>Quick but expensive and ineffective treatment. Will not recommend. Do not go to their urgent care if it is for an open wound. The emergency doctor does not understand wound healing well. My wound is still open more than five weeks later and is infected. I have been told by other doctors to expect bad scarring because the skin is not closed. I will probably have to see a dermatologist or plastic surgeon to get corrective care. Tried complaining on their website and couldn’t submit it. Clicked on the WhatsApp and link cannot be opened. Guess they don’t want to hear negative reviews.</t>
  </si>
  <si>
    <t>It is better, cleaner Mount Elizabeth hospital than other hospitals... Newer and better facilities... Lovely hospitals... Many great doctors here...</t>
  </si>
  <si>
    <t>I would say.. 5 star service in every aspect... Good Dr, prompt care received, good hospital food with complimentary limousine service for discharge before 11am. Strongly recommend for paeds cases as their paeds team are really very caring.</t>
  </si>
  <si>
    <t>Went to their A&amp;E at 2.30am on 3rd May 2023. BY 3am, we are done and off we go with the medicines 💊 Superb service by the A&amp;E team at Mount Elizabeth Novena. Keep up the good job! 👍🏻 Worth every dollars paid. Thank you very much.</t>
  </si>
  <si>
    <t>Great place for day surgery! Very clean, spacious and well-furnished room.</t>
  </si>
  <si>
    <t>Got admitted through A&amp;E with a fractured and dislocated ankle. The A&amp;E doctor was swift, decisive and helped set a drip that wasn't painful at all. Orthopedic surgeon came down and ordered tests as well as planned for the surgery. Dr David Su gave me so much confidence that everything is gonna be alright (despite the fear of my dangling ankle). The drs were professional, skilful and assuring. Nurses are all empathetic, warm and most importantly caring. Food was tasty and I had so much appetite after my surgery. I cannot thank them more for their assurance, care and help throughout my 4 day hospitalization experience. It made my ordeal less painful, less traumatizing and very much bearable.</t>
  </si>
  <si>
    <t>Went for endoscopy, I came at 7am, at 7.49am I am still not being registered and they have a lot of Chinese patient when the staff is a malay and cant communicate. Shouldn't the management look into this. Totally disappointed.</t>
  </si>
  <si>
    <t xml:space="preserve">I had initially wanted to visit SKGH, but my friend insisted on taking me to Mount Elizabeth @ Novena after I suffered a head trauma from a rotational fall while horseback riding. Unfortunately, my experience at this private hospital was so poor that I felt compelled to share my concerns. </t>
  </si>
  <si>
    <t>Nice hospital and such a friendly service from the valet team. Was unsure where to go as it was the first time there and they were helpful to even usher me in to where the clinic was &amp; how to get there.</t>
  </si>
  <si>
    <t>Visited their UCC on 31 March around 3.30pm and was only discharged around 9.30pm. Patient load was less than 10 btw. Total consultation time + time spent on drawing blood and taking xrays were less than 30 mins. Wasted 6 hours of my life waiting. Not forgetting how your nurse came into the room bawling, as if I know whats lined up for me. During dispensing of medications, your nurse didnt even bother to check for both identifiers. What if I’m the wrong patient? Not to mention how she didnt even wanted to spend time on explaining the medications until i asked. To all your ucc nurses: if you are not happy, then dont come to work. Dont make your patient a victim of your unhappiness. Shame on you for advocating “care is in the details” because you can’t even get the basics right.</t>
  </si>
  <si>
    <t>Exorbitant charges but low class level service. - Doctor is good - A&amp;E/F&amp;B team is fine - Ward nurse? A big no</t>
  </si>
  <si>
    <t>Bad service. Nurse at A&amp;E said she will check if medication is covered under our healthcare plan and will call us to let us know but never did. Called back the next few days but no one ever answers the A&amp;E number.</t>
  </si>
  <si>
    <t xml:space="preserve">The facilities and staff are helpful and friendly. A nice and quiet hallway with corresponding good lighting. Very neat and clean with no clutter. The management team is accomodative to queries and exceptions if needed. </t>
  </si>
  <si>
    <t>My 3rd time warded here, and every time I have had a great care experience from the healthcare team. This time I was warded at level 4, and was very well taken care of by Syafiqah. She is very attentive and goes the extra mile for patients. Being a nurse is a very noble job. Thank you for taking care of me!</t>
  </si>
  <si>
    <t>My son recently underwent arm surgery, and our experience was outstanding from start to finish. The doctor was fantastic—thorough in his explanations and patient in answering all our questions, which gave us great peace of mind. The facilities were clean and well-equipped, and the nursing staff was exceptional—kind, attentive, and always ready to help. We are truly grateful for the excellent care we received. Thank you!</t>
  </si>
  <si>
    <t xml:space="preserve">Absolutely appalling experience with the valet/parking system here. My husband and I had no choice but to park in the EV charging lot, since every other lot was full. We drive an EV and connected to the charger, only to find it was defective and out of service. We even have a screenshot of the error message, and later proved on the spot that the charger was still broken. </t>
  </si>
  <si>
    <t>Exceptional Care at Mt. Elizabeth Novena – Cardiac Ward My husband, William, was admitted from 9 to 24 August 2025, and we are so grateful for the outstanding care and support throughout his stay. Ward 4 is truly a hidden gem! Special thanks to the amazing nurses on duty during this period—Norsakina , Odette, Lynn Ng (on call sister on 9 Aug 2025) , Wong Yah Ling, Destri, Sean Toh, Yu Yingxi, Siti Haslidah, Yah Li, Yee Wei Kar, Pra Manimala, and Chua Sze Mei—for your warmth and attentiveness. Thank you also to Azira from housekeeping for keeping the ward spotless and adding lovely touches like fresh orchids, and to Ong Ye Jun for serving hot and timely meals every day. We left with hearts full of gratitude. Thank you, Ward 4—you made a difficult time so much more bearable. Ward 4, you guys rock!</t>
  </si>
  <si>
    <t>Had my first time surgery at Mt. E Novena in end Nov 2023 and stayed for a few nights. Actual day Admission was very smooth and within 20 mins as I was advised to do a pre-admission session via scheduled zoom earlier. Reception design at lobby was like a hotel with a pianist playing the piano to soothe the atmosphere. Room was full and thankfully they done a complimentary upgrade to a really spacious suite. Seamless process of onboarding to surgery. Smiling and warm service throughout the pre-ops and stay that made the experience feel less fearful and painful. They cater 3 meals and 2 snacks daily. Some meals were good, so were so so. Discharge process was also smooth and quick and feel like ‘checking out’. Overall is pretty good. If there is one thing to pick, it was the slow/no response to our requests for things like toilet paper, shower gel, milo etc</t>
  </si>
  <si>
    <t>Nurses were great! Doctor was not great. He issued an MC without signing it and the nurse told me to collect his signature at the follow up date.</t>
  </si>
  <si>
    <t>Private hospital, everything has order. Get a number from a kiosk, wait in line, go to the desks and then they send you to get your tests done. If you need to be admitted inpatient, you will have comfortable facilities and caring medical professionals, and food options are plenty.</t>
  </si>
  <si>
    <t>Writing in to compliment the service &amp; care that the nurses shown to me. 11am 27th Nov I visited the hospital for a short procedure today. #hysterosalpingogran I am really thankful to the 3nurses who’s by my side from the start to the end of the procedure. I am super nervous &amp; scared to be exact from the start, but their words comforted me. Their gesture make a difference to me today. I really feel what is great service and customer care towards a patient. Kudos nurses, I can’t recall your names. But thank you ladies , you all demonstrate what’s is empathy and care ❤️</t>
  </si>
  <si>
    <t>Wife was admitted to Mount E Novena last week. She was experiencing significant pain and there was a staff named Javier who ensured that her admission to the hospital was smooth and fuss free as much as possible. I really appreciate his efforts as he was very attentive and went above and beyond to help us. He helped us settle in the room and also made us felt comfortable in a situation with a lot of uncertainties. I would like to also thank the ward nurses for their caring help which made my wife's stay here such a pleasant one! Will definitely recommend this hospital if you are looking for a pleasant hospital stay!</t>
  </si>
  <si>
    <t>5 Stars Pricing 2 Stars Service. Came here for Day Surgery today. Terrible experience. (1) Admission takes forever. The counter called a number before me 4 times and nobody turned up. I went to the counter and saw two ladies sitting there chatting. Told them I’m next in line, asked if they can serve me since the person before me is not around. She said she’ll check. Went to front counter to call the name a few times and truly nobody responded, so they served me. (2) After getting me to the room and then sending me to the waiting area before they wheel me into the Operating Theatre, my nightmare began… They put me on a bed in waiting area that is cramped, stuffy and narrow, like in a PRISON. I could almost touch the two walls around me by stretching out my hands. I would have endured this if it’s a short wait but no… I waited for ONE HOUR in this PRISON. I was feeling so stressed that I started crying. I do not have any history of being claustrophobic. But this place is really too much for me to bear. I asked for help several times but all the staff did was ask me to WAIT. My doctor finally arrived after more than 1 hour wait. He apologized but it couldn’t make up for the stress and suffering I had endured. The hospital room is nice but the surgery waiting room they put me in was TERRIBLE. I hope Mt E can improve your service and not put patients through such TORTURE. Thank you.</t>
  </si>
  <si>
    <t>I am concerned about the ongoing traffic congestion caused by this medical specialist center/hospital along Irrawaddy Road, Sinaran Road, and Moulmein Road without any intervention from the relevant authorities. The limited parking spaces force most of us to drop off our loved ones at the front entrance. They have two lanes for cars to circulate at the entrance but have closed off a part of one lane. Although there is someone guiding the heavy traffic, they do not seem to know what they are doing, resulting in more chaos at the front entrance. It is about time the management team addressed this significant problem.</t>
  </si>
  <si>
    <t>A big thank you to the receptionist staff who helped me when I dropped my phone in a taxi. One of the team went above and beyond to make sure I got it back, and he did! Truly grateful. I’ve had all three of my babies here, and every experience has been wonderful. So happy with the care and service at this hospital!</t>
  </si>
  <si>
    <t>Stayed for a night after my surgery. I love that they only have single rooms here. All the nurses and staff were so caring and friendly. Made my stay a very pleasant one! Facilities are top notch and well kept too. The free limo ride home was a nice touch!</t>
  </si>
  <si>
    <t>I would like to extend my thanks to Pharmacist Tiffany at the Level 4 Pharmacy for her empathy and excellent customer service. I needed to take my medication immediately for a lab test and required some water. She provided it without hesitation, and I truly appreciate her kindness and prompt assistance above and beyond her duty.</t>
  </si>
  <si>
    <t>The valet service at this hospital is a lifesaver. My husband was having a hard time walking, so being able to drop him off right at the front door was invaluable. The valet was fast and efficient, and when we were ready to leave, our car was brought back to us in under five minutes and the attendant was very friendly. This service made a difficult day so much easier. I highly recommend it for anyone who needs quick and accessible parking at the hospital.</t>
  </si>
  <si>
    <t>I brought my child to the A&amp;E and was told by the front desk that the wait would be one to two hours. After waiting an hour, they finally began the registration process, only to ask us to wait another one to two hours outside. An hour later, a doctor examined my child and then sent us back outside again to wait. Eventually, the A&amp;E duty doctor admitted he had forgotten about us and complained that he was the only physician on duty in the entire A&amp;E. Frankly, that’s not an acceptable excuse. If you're going to take on the responsibility of patient care, it should be done professionally. Don’t take out your frustrations with management on patients—especially not children. We’re paying a premium for what is supposed to be high-quality care. Is this how we should be treated? It was later determined that my child needed to be hospitalized. Yet we waited another two hours with no progress on admission. After checking with the front desk multiple times, we were told it would just be “a few more minutes.” By then, it was already past 1:00 a.m. We were then directed to the nursing department, where we were told that the admission required multiple departmental approvals due to "complex procedures." When we expressed our frustration, the nursing staff simply told us to file a complaint with management. Is this really the level of service one should expect from a private, high-end hospital? You should be delivering attentive care and showing initiative to ease patient suffering—not responding with indifference or irritation. By the time the formal admission process was complete, it was well past 3:00 a.m. I strongly urge you to reflect on how the front desk and nursing teams interact with patients and to seriously consider streamlining the entire admission process. If you genuinely believe nothing was wrong with how this was handled, then there's nothing more for me to say.</t>
  </si>
  <si>
    <t>A child threw up at the reception. Considering it is an expensive private hospital, it has not been cleaned up even fifteen minutes after the incident. We all need to put up with the odour and the dirt while the live piamo plays, basic needs like cleanliness are neglected in the hospital. The reception claims to have informed the cleaners.</t>
  </si>
  <si>
    <t>We have been going back and forth to the hospital twice a day for the past 2 months and it has been a pleasure to be greeted and attended to by the fantastic Vallet parking team every single time. Not only have they taken great care of our cars but their warm smiles have made our hospital visits easier as well. Thank you Ahmad, Zul, Yusoff and the rest of the team.</t>
  </si>
  <si>
    <t>I would like to express my heartfelt appreciation to the entire team at the Accident &amp; Emergency (A&amp;E) Department at Mount Elizabeth Novena Hospital for their outstanding care and professionalism. From the moment I arrived, I was met with prompt attention and a calm, reassuring atmosphere. The registration process was efficient, and the medical staff ensured that I was assessed and treated without unnecessary delay. The nurses were compassionate, attentive, and clearly dedicated to their work, while the doctors demonstrated not only clinical expertise but also took the time to explain my condition and treatment plan thoroughly. Thank you once again to the entire A&amp;E team for the excellent care and support. Your dedication truly makes a difference. I would like to commend the valet team for their outstanding and efficient service. The entire process, from vehicle drop-off to collection, is impressively streamlined and professionally managed. The staff,especially the team at the lobby consistently demonstrate helpfulness not only with parking but also by assisting patients, offering directions, and providing clear information when needed. It's also encouraging to see that the valet team values and incorporates feedback from patients, showing a commitment to continuous improvement. Their polite and respectful demeanor stands out—they often remember returning patients such as myself and understand their specific needs, which adds a personal and caring touch to the service. Overall, the valet service greatly enhances the experience for patients and visitors. Keep up the excellent work!</t>
  </si>
  <si>
    <t>long waiting time though the reception area was almost empty. receptionist NURUL ERWINA is extremely rude. ignores patients though we stand right in front of her. she continues to chit chat and laugh with her colleagues instead of serving patients. i said “hi” twice and she blatantly ignored. her male colleague had to walk over and address my question instead. bad experience.</t>
  </si>
  <si>
    <t xml:space="preserve">Stayed for 2 nights at Mt Elizabeth Novena for emergency treatment. Was attended by Dr Kevin Wong, hand specialist. He is a very friendly, engaging, knowledgeable &amp; professional specialist. Wrist operation was carried out immediately the next day very successfully. All the hospital staff were very friendly &amp; helpful. I love all the lobsters meals which is far better than any 5 Star Hotel. Really pamper all the patients with great &amp; awesome food. This is definitely The Best Hospital in Singapore. Dr Kevin Wong has definitely made Mt Elizabeth Novena Hospital very proud. Impeccable, impressive &amp; awesome service!!! Highly recommended!!! Keep up your great work. Thank you very much for your great service. </t>
  </si>
  <si>
    <t>Had to send my friend to the a&amp;e and felt that the carpark was a distance away from it. I decided to engage the valet service at the main lobby and was very pleased with the service. The service provided by the valets was quick and convenient which allowed me to accompany my friend to the a&amp;e fuss-free. After the visit, the process of retrieving my car from the valets was also smooth and fast. I had never come across such good service but was glad that I did during an emergency that I had to attend to.</t>
  </si>
  <si>
    <t>I cannot speak highly enough of the care I received from the moment I entered the A&amp;E ward. I was assessed promptly, put straight into Ward 8 and treatment started immediately. Dr Low Chian Yong was very professional and kept me fully informed. All the staff involved in my care were friendly, helpful and efficient and someone was always available. The room was spacious, well equipped and kept spotlessly clean by Valli - thank you. There was plenty of food options, the meals were good and always delivered with a smile. No one chooses to be in hospital but, when it happened, I couldn't think of a better place to be. Thank you to everyone involved in my care.</t>
  </si>
  <si>
    <t>The service level here was also good. In particular, I would like to commend nurse Stephrene Ow. When I was shivering from the side effects of GA, she held my hands to share some warmth. It was a very heartwarming gesture, and she looks after patients with a personal touch. Epe Christian was also helpful in explaining the various options of pain medications available. The nurses were all fast to respond when I pressed the call button. Not hoping to stay in a hospital ever again, but it really helped to have good nurses and good food when recovering.</t>
  </si>
  <si>
    <t>Exceptional Cardiac Care by Dr. Edgar Tay &amp; the AHVC Team "We had an outstanding experience at AHVC (Mount Elizabeth Novena Specialist Center). My sister, Aye Aye Mar, was treated for Severe Mitral Stenosis via a PBMV procedure, which was executed flawlessly. Dr. Edgar Tay is not only a highly skilled specialist but also a noble-hearted physician who treats his patients with immense care. The AHVC team operates with a level of professionalism and compassion that gave our family great peace of mind. The entire process—from consultation to a smooth recovery—was handled with excellence. For anyone requiring specialized heart care in Singapore, I highly recommend Dr. Edgar Tay and his team."</t>
  </si>
  <si>
    <t>was down for a bloodtest at the phelbotomy lab and was served by Mary. requested for a baby needle as I previously passed out while drawing blood in another clinic. Not only was Mary quick to intercept, she was also not empathetic of my situation and mentioned that "everyone is afraid of needles", which left me feeling bad about myself when I was already depressed having to go through a series of bloodtests. Counter staff was unapproachable as well, and doesnt seem to know much when questioned. And we all paid for our medical services, I dont think we owe any staff a favour to deserve such random hostile treatment, let alone healthcare professionals should have been guided with patience and empathy. pretty disappointed.</t>
  </si>
  <si>
    <t>Visited the urgent care in the wee hours of morning , we were promptly attended to , the nurse saw that my companion was in pain and quickly went to get wheel chair .
Doctor came and ordered blood / urine test for diagnosis . We were put in observation room for patient to rest before we were warded at Ward 8.
Overall good service provided by crew of Ward 8</t>
  </si>
  <si>
    <t>I had a wonderful experience with the hospital’s car valet service. From the moment I arrived, the staff were friendly, professional, and incredibly helpful. They greeted me right away, explained the process clearly, and made everything feel effortless during what could have been a stressful visit. The valet team handled my car with care, and it was ready for me the moment I returned—no waiting, no hassle. The convenience made a huge difference, especially in a hospital setting where every minute and every bit of comfort counts. The service was organized, efficient, and very well-run. I appreciated the courteous attitude of the staff and the peace of mind knowing my car was in good hands. Highly recommend this valet service to anyone visiting the hospital. It truly adds ease and comfort at a time when it’s needed most!</t>
  </si>
  <si>
    <t>I came to the prenatal radiology lab for normal pelvis scan. It was early morning 8.30am scan. Both of the staff seem really cold however the staff wearing specs mid age lady was extremely cold and not friendly. Giving an attitude problem so early in the morning?! She asked for IC and then later said something like ‘don’t go yet got a lot of forms to fill’. She could use better phasing and act like a professional. I have an appointment at the private Gynae Aster Clinic later on so I had to do the scan at the hospital radiology first. I wasn’t sure about the process or how the scan images/information would be sent to the gynae Doctor later. I had thought it would be sent to them electronically through the system. However, after my scan at the lab, that desk staff gave me a big envelope. Not explaining what it is inside or what to do about it. So I asked her politely ‘what do I do about this?. Do I give this to the doctor or keep?’ and she replied rudely ‘I suppose so?!’. I was taken aback. I mean she could replied politely or at least in a normal friendly manner. If you have such a bad attitude so early morning or hate your job, better not work at front desk facing or talking to patients/customers. This is such a bad experience considering this is a private hospital and also at the scan lab. Do look into the attitude and service of this staff. I’ve already written to the website feedback site and didn’t get any reply whatsoever.</t>
  </si>
  <si>
    <t>Countless times i went to this hospital, but felt like you’re in a hotel. Great facilities &amp; since its Christmas season they well decorated the lobby, I believed its uplifting to patients &amp; families to always see a bright side of any situation despite its a hospital.</t>
  </si>
  <si>
    <t xml:space="preserve">a month ago </t>
  </si>
  <si>
    <t>Here’s a clearer and more concise version: &gt; I was warded here for 3.5 days and did not regret my choice. The room was spacious and clean, fully stocked with toiletries, and housekeeping was done daily (including changing the bedsheets). The nurses were very polite, proactive, and helpful — I did not encounter anyone who was unfriendly or unapproachable. In fact, they consistently reminded me to call if I needed anything or assistance getting out of bed. The food variety was excellent, and some dishes were really delicious. My only feedback is a small point: I hope the drinking cup can be changed daily when new flasks of water are provided. Highly recommended!</t>
  </si>
  <si>
    <t xml:space="preserve">Sadly to say that i was very disappointed with Gleneagles. The nursing staff made us felt very unwelcomed and inconvenience. They was very slow responsed &amp; a bit not responsible. </t>
  </si>
  <si>
    <t>Excellent experience here (Maternity ward) and A&amp;E. The nurses seem well trained and the amenities are sufficient. the doctor you see would depend on your choice from my understanding</t>
  </si>
  <si>
    <t>My surgery was quick and smooth. The hospital design can be improved. The corridors are cramped and not much signages for directions around the place.</t>
  </si>
  <si>
    <t>I came to A&amp;E today due to a fall. Very quickly, I was attended to with ECG done and shortly after an Xray was done. I must commend Nurse Anna as she was exemplary in carrying out her duties while informing and updating me constantly. I felt safe in her hands dr Yip was caring and friendly too, clearly explaining the case of my chest pain I would like to thank both of them. They do gleneagles A&amp;E dept proud</t>
  </si>
  <si>
    <t>Worst bunch of nurses I've ever come across in VIP Ward L10. Really bad Attitude , rough handling even when patient complained giddy, takes a very long time to answer callbell, have the audacity to ask via intercom instead of attending personally. NO wish to stay a second longer to make sure patient has settled!!! Patronizing voice, insincere. Lots of fake smile .... Utterly Unprofessional the lot of them!!!!</t>
  </si>
  <si>
    <t>I received outstanding service today from a lady named Shahnaz. She was exceptionally clear, concise, and incredibly friendly and helpful with my submission. Thank you for your warm kindness.</t>
  </si>
  <si>
    <t>Friendly and helpful nurses but waiting time can be long. Waited an Hour at A&amp;E to see the doctor, another hr plus to see the specialist. Hospital was fully occupied so i was being transferred to Mount E novena, which the whole duration took 6 hrs from time of registration to settling down in my ward.</t>
  </si>
  <si>
    <t>Very good eye doctor here. That is why I visited. However,the hospital is a big disorganised mess. Parking is difficult and expensive. Full of loud and noisy mainland Chinese patients who shouts in the waiting area and talk very loud on their phones. If I have a choice. I won't come here. Rather go to Raffles or Novena. More civilized.</t>
  </si>
  <si>
    <t>Most of staff on duty from 6 - 8th June 2024 at 9th floor are very unprofessional, lazy &amp; extremely poor at communications. Despite all the Drs at the clinics there are fantastic. No wonder SG medical tourism is in dire strait.</t>
  </si>
  <si>
    <t>not recommended. Doctor was not professional at all, even though he is quite middle aged and expected to be more experienced. The staffs that assisted with the measuring of height and weight, blood pressure were nice and friendly (thus the 2 stars given). Would def not recommend this hospital in general and suggest to go to other hospitals for a better experience.</t>
  </si>
  <si>
    <t>I was awarded for 5 days. Nurses all put on smiles and greeting always, and i love the indian auntie serving food at Level 8 patients ward- always come in check to make sure i have ordered my food for the next day and give me suggestions on what to eat the next day if i have colonoscopy (what not to eat 1 day prior).</t>
  </si>
  <si>
    <t>Not impressed by the service. Had a day surgery and the nurses had different versions of whether should I take any painkillers or not when my doctor already informed them. Nurses should learn to be proactive and give specific instructions to patients who are in great pain and help them through rather than just standing there and expect patients to sit up/ move to the side on their own</t>
  </si>
  <si>
    <t>I see a lot of people complaining about this hospital and it is all true. They don't care about you, most of the staff are just as rude as possible. If Singapore wants to keep its position as a global city they should be thinking about better training those people that work at Healthcare...it is a shame. Aside of the rudeness which you can just stand as there isn't another option they need to work on how to better manage capacity, which for sure poorly managed as you just need to complain and you get to see a doctor. Facilities are a disgrace for such expensive particular place...and nurses and staff oh my they need training like a lot on who is the customer. No one will respond or it will be a genéric "we would like to hear more..." but those companies need to understand that the customer is in charge and that the staff is not doing this as a favor...another bad experience in a Singapore hospital.</t>
  </si>
  <si>
    <t>I recently went to the A&amp;E after being very sick for more than week. The staff were quick to note my distress and immediately rushed into action, doing the necessary tests and getting me on a drip while I waited for an available bed. What I appreciated the most was how kind, compassionate and reassuring all the doctors, nurses and aides were. What they exhibited went beyond simply good customer service and professionalism - I could truly feel how loving and caring they were, and that made me feel safe despite my physical discomfort. Gleneagles is lucky to have staff like them, and I am grateful to have been in their care. Thank you for being wonderful humans!</t>
  </si>
  <si>
    <t>Very very disappointed with the service and its quite shocking how its a private hospital. My friend was warded after a major surgery in the general ward and had difficulty with mobility. However, she was not sponged for 3 days and also her bed was not changed. Its absolutely shocking how there's a lack of initiative and no sense of hygiene, in terms of cleaning the patient's back wounds aft the surgery. What if she gets an infection from the lack of cleaning her wounds? Not sure whether the money is worth it and definitely I will think twice about getting any of my close ones being warded here again. Please establish better protocols to ensure that nurses are doing their jobs well.</t>
  </si>
  <si>
    <t>Our Gleneagles experience: - Good Doctors - Bad communication between departments. - Nurses that don't communicate and weird stuff just kept happening (for example, they bought food to a patient that was just heading for abdominal surgery). - Aggressive billing by the parent company IHH healthcare. - Remained alive at the end, which is always a positive thing when visiting hospitals.</t>
  </si>
  <si>
    <t>Too few accessible toilet facilities with grab bars in this hospital for patients .</t>
  </si>
  <si>
    <t>I was a patient of Dr lui. An endoscopy and colonoscopy was arranged and was done at eleneagles hospital on 9 jan 2025 in the morning around 10am. The experience was more than unpleasant as I was handled roughly by the assistants in the operation room. After I was given the topical anesthetic for endoscopy I started gagging. My face and my hands was strongly hold down by the assistants. The assistant pressed hard on one side of my nostril and I had difficulty breathing and I couldn't voice out with the mouth piece in my mouth or move the hands away since they holding me down hard. Eleneagles personnel may wish to look into this and re-train their staffs to handle the patient the right way instead of giving the patient trauma and endangering the patient in anyway.</t>
  </si>
  <si>
    <t>Stayed in the standard private room. Well-taken care by the nurses and staff.</t>
  </si>
  <si>
    <t>Bad experience for me, the hospital staff is really not patient friendly. Bad treatment from all the hospital staff.. have to wait so long to see the doctor for a consultation. There are patients who came before I was called first. I hope the management, please improve the treatment of patients because they come not for free.</t>
  </si>
  <si>
    <t>The medical team that took care of me post-surgery at LVL10 East Wing on April 2025 was very professional. Shoutout to Sathiya, Eiji Bernice, Cherry, Eswari, Eswaranthi, and so many more names that I deeply appreciate the level of care and empathy you've shown. The medical facilities were also clean, and services were prompt.</t>
  </si>
  <si>
    <t>Hospital facility is good. however, it took me 7-9hrs just to do my full body checkup. This did not include seeing the doctor at the end for the report breakdown.</t>
  </si>
  <si>
    <t>The nurses were so helpful and easy- going , the treatment was great and i felt absolute comfy here, will visit this hospital again</t>
  </si>
  <si>
    <t>Had a lovely experience at gleneagles in the Paediatric department, as good as one can hope for given the circumstances... Nurses were attentive and often would appear within a few seconds of pressing the call bell. The food was decent, surprisingly tasty... The cleaning staff were excellent... Rooms were very spacious and facilities very clean, much cleaner than other hospitals I had visited in Singapore! Thanks to the staff for making our stay as pleasant as possible whilst my daughter recovered.</t>
  </si>
  <si>
    <t xml:space="preserve">Very, very poor toilet design + Super small toilet with only 1 cubicle. Got hit by person opening the main toilet door. Can't imagine a private hospital being like this </t>
  </si>
  <si>
    <t>Entire family comes here for medical! Excellent doctors and nurses! Clinics are good as most of them are specialists, definitely worth the money. Carpark is too small and not enough lots for the amount of patients Gleneagles have! A big plus point is the valet! Definitely one of the best hospitals. Newly opened Starbucks is good as well</t>
  </si>
  <si>
    <t>Nurse armina was really nice and welcoming ! She kept on checking up on me to make sure i was well rested &amp; well eaten !</t>
  </si>
  <si>
    <t>I had the opportunity to go there when omma whom I was caring for suddenly had to be rushed there because she was sick. She was hospitalized in the vip room for 5 days. their service is very swift, detailed and friendly. the food is also very yummy, really did not disappoint. I just realized why people love to get treatment here.</t>
  </si>
  <si>
    <t>Stayed for a night in the Executive Suite and were treated with care by the nurses and butlers. The room is well equipped and clean, very pleasant stay overall. Less 2 stars for the narrow and limited space carpark, and for the price of the ward being slightly more expensive than other hospital with the similar standards.</t>
  </si>
  <si>
    <t>Great stay at the day ward. Nurses were attentive, kind and friendly.</t>
  </si>
  <si>
    <t>a friendly front desk staff who is helpful in helping my dad to go through patiently all the agreement forms to sign. Thank you the staff at the vip suite that are being helpful and taking care of my dad at that moment. Really appreciate.</t>
  </si>
  <si>
    <t>An amazing and creative private hospital! I can't believe how some reviews were complaining a lot. The bathroom was pretty clean and nice, and the nurses and the food they gave me was delicious.</t>
  </si>
  <si>
    <t>My loved one had a head injury and was admitted for about a week in the ICU then down ward to a regular ward. The nurses esp in the ICU were exceptional. They were compassionate, gentle, patient and attentive. My heartfelt thanks to all the nurses who helped to make my trying times more bearable.</t>
  </si>
  <si>
    <t>Very impressed with the staff and the nurse here. They're all very gentle, polite, helpful and professional. We really had a very good experience here.</t>
  </si>
  <si>
    <t>Had the best experience here having surgery and staying for 3 nights. Single room was so comfortable and quiet so I could rest, all the nurses on ward 10W were wonderful and the food was good also. Great experience beginning to end</t>
  </si>
  <si>
    <t>The attitude of the emergency staff was extremely poor! I just wanted to inform them that my mother was going to the restroom, but a man wearing glasses warned me that this was the last warning! I honestly don’t know what rule I supposedly violated. I sincerely hope that we can be treated with respect! Please improve the professionalism and quality of the staff!</t>
  </si>
  <si>
    <t>We arrived at Singapore General Hospital (SGH) around 2+ pm, and it’s now almost midnight—we’re still trapped here waiting with no end in sight. My wife suddenly experienced severe blurry vision and sharp pain in her right eye. We waited about 3 hours before seeing the first doctor for an initial eye assessment, only to be immediately referred to a specialist, which meant another roughly 2-hour delay. All this time, she has been extremely dizzy (giddy) and has vomited at least 10 times. The specialist then sent her right back to the original doctor to address the giddiness specifically. After yet another 1–2 hour wait, they finally administered an injection for the dizziness. Now, post-injection, we’re back to waiting to see the doctor again—already over 2 hours and still counting. We haven’t eaten or drunk anything since 2 pm. The entire process has been utterly exhausting, chaotic, and poorly coordinated. We’re left sitting here for hour after hour with zero meaningful updates or sense of progress. It’s bad enough being extremely worried and anxious about my wife’s serious symptoms, but enduring this prolonged, torturous wait in the hospital has pushed the whole experience into nightmare territory. This level of disorganization and delay is unacceptable—especially for someone in clear distress.</t>
  </si>
  <si>
    <t>My mother has been in the new A&amp;E observation area since 9 Feb noon. It’s now almost 6 pm on 10 Feb and she still hasn’t been allocated a bed. 30 hours and still waiting. I understand from my mother that the observation area is very noisy due to the presence of family members. As per SGH rules, family members are not allowed in the observation area. My mother was re- admitted to A&amp;E at SGH and has been waiting for a ward bed for over 24 hours. The hospital is unable to provide an estimated update on bed availability across the different ward classes. As a result, we are unsure whether we should continue waiting in the current queue or consider upgrading to another ward class, which may involve an even longer wait. I sincerely hope SGH would improve on the admission process.</t>
  </si>
  <si>
    <t>Edited a month ago</t>
  </si>
  <si>
    <t>I would like to express my sincere appreciation to Mavis Tan and Reeve Chan from Blk 2 Level 1 at Singapore General Hospital. I recently underwent an MRI scan without sedation — something I had never been able to do during my previous MRI experiences. This achievement would not have been possible without their exceptional care and support. Both Mavis and Reeve took great measures to ensure I felt safe, reassured, and completely comfortable throughout the entire process. They patiently explained every step, checked in on me regularly, and provided constant encouragement. Their calm demeanor, professionalism, and genuine empathy significantly eased my anxiety. What truly stood out was how they went beyond their usual responsibilities — dedicating extra time and attention to ensure I was coping well and felt confident enough to complete the scan successfully without sedation. Their kindness, dedication, and commitment to patient-centered care reflect the highest standards of service excellence. Please extend my heartfelt thanks and appreciation to both of them.</t>
  </si>
  <si>
    <t>After surgery , follow up appointment took too long. I have try to get earlier appointment by call or email. The answer that give is no slot or Holiday. Why follow up is not important? The only way they accept follow up is go A&amp;E again to open new case and spend time, spend money again. Disappointed with their service.</t>
  </si>
  <si>
    <t>Hospital is a place to save people's life, so it's probably the most solemn and sacred place among others. Singapore General hospital is ranked as one of the top general hospitals in the whole world. yeah not only in asia but in the whole world. there are a large team of well-trained professional doctors and nurses and other staff, providing first-rate medical services i only came here for A&amp;E and found their staff super helpful and patient and professional, very soothing and reassuring for patients. they usually give detailed and helpful instructions for you for your medical consultation or treatment. to be honest no one wants to come to a hospital, but its also true that sometimes we have to. the only thing is we should respect this place and every individual working here.</t>
  </si>
  <si>
    <t>I been there last week due to crazy high fever and although the hospital was busy and only one nurse call Wint Wint Thu, a nurse from Myanmar. I find her very good and really care about her patient unlike other nurse, busy then just ignore you</t>
  </si>
  <si>
    <t>I have wonderful experience with SGH since 2022. Myself and my parents, all were treated with respect and expertise. From the moment I call them for appointment until the day of the visit, all are smooth and easy to do. The hospitals are clean, inside and out. Getting there is easy, they got their own shuttle from Outram Station. The medical cost may seems high at first but the results outweight the cost easily. Since it is a public one, it always busy. No wonder Singaporeans are respected and they all proud of their achievements. Thank you for saving my family. This hospital easily top 10 in the world and thank god I don't have to fly to Mayo to get similar treatment. This all based on my personal experience coming from nearby island where hospitals/doctors generally are less trusworthy. Also, our visit are limited to the skin, orthopedic, and eye department.</t>
  </si>
  <si>
    <t>Had my health assessment at SGH this February 2026 In my experiencr, doctors, nurses and staffs are friendly and efficient I would recommend 👍🏻🙂</t>
  </si>
  <si>
    <t>Dr Yeo Siew Ing has been a helpful doctor monitoring my Rheumatoid Arthritis for more than 2 years Although it was abit inconvenience to walk up to SGH in such a hot weather but I'll take it as a short execrise.</t>
  </si>
  <si>
    <t>Edited a year ago</t>
  </si>
  <si>
    <t>Set appointment for procedure but not consulted by any Doctor on the procedure. We are Paying Patients. Public Health in Singapore is NOT FREE like other countries (like some of your staffs came from). So treat us like Customers instead of Beggars. For all you know, the degree you got for medical practice are subsidised by Taxpayers’ Money. The very people you are treating. We are definitely not your Guinea Pigs or Lab Mouse.</t>
  </si>
  <si>
    <t>Really disappointed with the reply from call centre. Write in on 9/9 as HL ended 15/9. Call in on 10/9 regard the issue, call being transfer here and there. Next doc appt 25/9. Requested for extend HL until doc appt. 17/9 reply was being mention the doc haven see pt in the ward so can't extend on HL. Pt went to ed 15/9 due to bleeding in urine. I really don't understanding how appt is given when HL ended before the next doc appt.</t>
  </si>
  <si>
    <t>Stupidest hospital. the provide a QR code for 'faster' registration for visitors. But despite multiple tries, it shows us a webpage that it might not be safe. Shy bother putting up all these things but have none of them work?! It's pathetic for Singapore's known efficiency. The online self registration iPad available also DOES NOT WORK. Seriously. And during visitation hours, they only have two counter open for manual registration. Ridiculous.</t>
  </si>
  <si>
    <t>I had a very disappointing experience at this hospital compared to Alexandra Hospital. I waited for over 8 hours, only to be told I would be admitted—but the doctor showed a lack of professionalism and empathy. The consultation was brief, and I was simply told, “I can’t find anything; you can be discharged.” Throughout my stay, I felt that the medical team did not genuinely care about how I was feeling. Doctors would come by in the morning, say just a few words, and disappear—even when the situation felt urgent. It was disheartening. What upset me most was being told that my condition was caused by stress and that I should just “control my emotions.” I expected a more thorough examination and understanding, not judgment or dismissal. I hope the hospital can reflect on how they treat patients who are already in distress.</t>
  </si>
  <si>
    <t>Had a misfortune to visit the emergency room here. While the wait was not short (about 3 hours), my problem was not life-threatening, so clearly, I was not a priority. There are lots of patients and limited resources. Once my time came, everything went very quick and professional. I was seen by the doctor, rushed through the X-ray, given a diagnosis within 1 hour.</t>
  </si>
  <si>
    <t>I am from India and came for my momtreatment. I had to undergo chemotherapy along with a surgical drain. I had fear regarding my current physical condition and my personal life especially my work. During my treatment, Pavithra psycho oncologist met me and supported me mentally during my chemo cycle. I shared my queries with trust with her. Every cycle she meets me and helped me to manage my worry and overcome my problems. She has done a wonderful job.</t>
  </si>
  <si>
    <t>Absolutely horrible experience at SGH yesterday and Head &amp; Neck center I waited 4 hours for my appointment, from 9am to nearly 1.20pm, and watched every single patient who came after me get seen first. I was the only one left in the waiting area. When I asked the staff if a 3-hour wait was normal, I was just told, “Sometimes, because the doctor is busy.” At the 4-hour mark, I really couldn’t take it anymore. I asked another staff member for help, and only then did they bring my appointment slip to a nurse and get a junior doctor to see me first. At this point I was holding back tears at that point I was so emotional and tired. On top of that, their appointment booking and payment system is a mess. I had to personally go up to Level 1 just to get a queue number to book my CT scan, then go down to B1 to select a date. After that, I had to go back to the clinic to pass the appointment details. When I simply asked a nurse to confirm whether I needed to pay today (since I’m using Medisave), I got scoffed at, she literally said, “I told you already, right?” when I was just trying to double-check. As i nurse myself I was being so patient despite the long wait and poor communication, but this experience was beyond frustrating. If I had known it would be this bad, I would’ve gone to NUH instead — or at least had lunch first. I just wanted to leave. This is not the level of care or organisation I expect from a major hospital.</t>
  </si>
  <si>
    <t>Like to thank the nurses at A&amp;E observation room 1, especially Ms Priya for the care. Being a nurse is a thankless job and in a fast pace and demanding A&amp;E , the nurses here are really professional and caring.</t>
  </si>
  <si>
    <t>Was warded. The excellent care from hani and Juliana Easter deserve a promotion. The therapy staff was helpful too</t>
  </si>
  <si>
    <t>After waiting hours for discharge papers ( at least resting in the ward) the patient needs to proceed to another block n level to collect medication which is another hour's wait at least. This system has no consideration for patients who are still recovering and gathering all these people in a cramp room to collect medication is definitely not a first world country or system. There is a online order system that would be delivered in a week's time. In another's word, majority patients who are discharging needs to squeeze through this place before they can go home to rest. Point 2. You can't send anyone flowers directly to the ward anymore. Unless the patient is well enough to collect from sender at the lift lobby. Patients with with no mobility cannot receive anything n they are the ones who need delivery most.</t>
  </si>
  <si>
    <t>Edited 2 years ago</t>
  </si>
  <si>
    <t>My son came down with bad allergic reaction and terrible mouth ulcers. We went to CGH and they refused to listen to us and even with our family doctor letter of recommendation for admission as he had not eaten for 2-3 days and drank very little water due to the intense pain. After being refused in CGH, we went to SGH. Although the A&amp;E wait was very long, the doctor listened to us and respected our GP’s recommendation and admitted him. SGH provided such excellent care and their services were so wonderful that my son felt better in 2-3 days and was finally discharged in the pink of health again. Kudos to SGH and their team of healthcare providers.</t>
  </si>
  <si>
    <t>Worst staff ever and very unhelpful. There are so many other better medical facilities in Singapore. First and last visit!</t>
  </si>
  <si>
    <t>If u want someone to have no compassion, empathy or skills, find eric foo chee kiong, worst physiotherapist in sg.</t>
  </si>
  <si>
    <t>Dr Steven Mesenas is highly inpatient and unprofessional. He is unable to give proper advice as a specialist in Gastroenterology. He brushes you off when you’ve pain and questions. Unable to answer your questions and contradicts with his own advices. Highly avoid this specialist. Disappointing nurses and staff.</t>
  </si>
  <si>
    <t>My dad is still currently warded in Ward 74. Some of the nurses and the physiotherapists and other support staff here have really great and positive attitudes. There are also interns here attached to the ward and room that my dad is in. They have been very positive and bubbly... and if they are the future of nursing in Singapore, then it's amazing and hope their spark and that light they are holding keeps on shining and never fade off. Keep being awesome! Thank you.</t>
  </si>
  <si>
    <t>I would like to share an unpleasant experience I had with the SGH orthopedic specialist clinic. The consultation with a Dr Tan SM was over in less than 2 minutes. After I pointed out the painful area in my foot, the doc immediately asked me to get an x-ray and MRI first, and to arrange for another appointment to review the results. As this was my first appointment with the doc, I was surprised that there was no attempt to examine my foot at all. I proceeded with the x-ray that day and later decided not to do the MRI due to the high cost. I also wrote to SGH to request for a waiver of the consultation fee as I felt that the doc did not do his job. The reply I got from SGH was shocking to say the least. It claimed that the doc had examined my foot and shared the x-ray results with me during the consultation. I disputed the claim and pointed out that it would not be possible for the doc to discuss the x-ray results during the consultation as my x-ray was taken after the consultation. After this terrible episode, I asked to see another specialist but was told that I would be charged as a private patient. As a last resort, I requested for the x-ray record so that I can seek medical advice elsewhere, I was told I have to pay an admin fee for the record even though I had paid for the x-ray. Whereas, the chest x-ray my mum paid for at a polyclinic comes with a report and the x-ray film.</t>
  </si>
  <si>
    <t>5* Doc but mostly 2 * nurse. Dr Darren Chua Weiquan and Dr Tan Jian Shiun in room 22 Blk 3 B1, CDLD yellow zone and most docs I communicate with are patient and kind unlike many of the nurses there are condescending, lack of basic manners &amp; impatient. Especially one who help me change dressing on 30/12/24 at 10:10am. When I'm about to be warded in hospital on 11/12/24 I'm waiting patiently outside room 25 treatment room and there's this 2 chinese nurse who talk among themselves. I went to toilet and my mom was informed I missed the call and to let the Chinese nurse know but when I asked about my missed no the Indian nurse there reply me but the Chinese nurse like heck care. After that she called me in and asked me many time what painkiller I use and I say Neurofen and she say she only have paracetamol. Then she ask me to go back in to take blood pressure again and I asked when the patient discharge. She say around 1pm and I need to wait patiently again. I say I have been waiting patiently, why you make it sound like I'm impatient? Luckily the Indian nurse at the dressing room was very kind, she calm me down and apologise on behalf of the Chinese lady when it's not her fault. In ward 57, one chinese nurse poke my hands till bruised and bleeding profusely for 3 times and say can't find my vein like it's my problem and without apologising. I say it hurts and please make sure before poking again and she say she's very "skillful" and she then walk away and before that she snatch my phone and put it at the table and pull it far away from me, I asked her to pass it back before she go loudly a few times she pretend she didn't hear. I complain to the doctor and he changed a nurse who's more skillful to help me inject the IV. She do it once and can find my vein? Also when changing sometimes only the patient's operation garment back knots are challenging and need help but I say many times I can change my underwear myself alot of nurse still stand there look at me change making me so uncomfortable, I mean it's common for them to see private parts but when people feel their modesty is being violated, they should let patient feel comfortable and ask them are they ready after they are done. The Indian nurse when I'm discharge at ward 57 also have attitude problem, she ask me to come follow her and on the way she talk with another nurse on the door blocking the path and later bring my mom and I to the discharge room where everything she didn't print out yet. We sit there waiting for her awkwardly. She asked where is my wound when the data is in her computer and later another of her colleague walk in and say to her everything is in there you can't see? The atmosphere there is really tense. Then when she's done she say check your IC &amp; address make sure it's correct and pass me an empty envelope with a stapled name card with Nurse: NC LANA where I look at it and she say that's the envelope! I mean cmon then why you pass me this first? It gives me the impression they thought bullying patient when they are most vulnerable makes them have that little power of authority they seek in their miserable life. Then she just stare at us and we stare at her back I told her off what I feel when she even pass me a feedback form, she thought she did a great job &amp; want us to compliment her or we can't go? I pass the form back to her and left where the pharmacy is some distance away I don't have much energy to waste my time on rude people. Very disgraceful &amp; unprofessional behaviour on some of the nurses. Most people thought doctor are snobbish but funny thing here is incompetent nurse. I'll post my bad exp on 30/12/24 of the nurse at SGH Blk 3 B1 treatment room area on another review. Hope some action can be done against them but looking at their link which put our feedback as poems, I doubt they even care to improve &amp; only read if it's compliment. Nurses act in between doctor and was suppose to assist and make sure the patient is comfortable but it seems we need to attend to their mood swing and lowest form of service standard. Outrageous.</t>
  </si>
  <si>
    <t>I would like to express my deepest gratitude to all the management and staff of SGH for the care and support I received during my treatment. A special thank you goes to Assoc Prof Chan Weng Hoong for his unwavering confidence and professionalism throughout this journey. I was extremely fearful and even considered backing out multiple times, but his calm assurance gave me the strength to carry on. I’m also very thankful to the young, handsome surgeon and the kind and pretty doctor assisting Prof Chan, who administered the local anesthesia before treating my infected wound. Their patience and gentle manner made the experience far less painful and much more bearable. I truly appreciate the way they handled everything with such care and empathy. In contrast, I had a rather unpleasant encounter in the A&amp;E department where a doctor insisted on proceeding without anesthesia, claiming it wouldn’t work on infected wounds. When I refused, he threw the scalpel on the table and walked off. Strangely, he returned hours later and even asked if the anesthesia worked—leaving me quite stunned by the lack of consistency in his approach. My heartfelt thanks also go to Staff Nurse Loh Hui Tian in the high dependency ward. Despite her heavy workload, she remained friendly and attentive, always remembering and responding to patients’ needs. And most of all, I want to express my deepest appreciation to the ever-lovely Nurse Angelina. She took care of my wound dressings—a process that was extremely painful and terrifying for me. Despite my screams, she never once lost her patience. Instead, she comforted me with jokes, gentle conversation, and even calming music. Beyond her duties, she continued to check in on me through WhatsApp, responding even on her off days and public holidays. Her support—both physical and emotional—meant the world to me. Lastly, I want to commend SGH for their compassion towards elderly patients. Unlike some places that dismiss the elderly by saying there’s little that can be done, SGH genuinely puts in the effort to treat them with dignity and respect. I saw this firsthand and it truly touched me, especially after what my 90-year-old grandmother experienced at another hospital. A big shout-out to all the staff and management at SGH—thank you, from the bottom of my heart. Your kindness and dedication have made all the difference.</t>
  </si>
  <si>
    <t>Dear Nurse Ms T SAKUNTHALA Of Ward 88, Room 3 Thank you for being one of SGH sweetest and kindest nurse that we have come across. The kindness that radiates from your heart wins praises of many. My grandma sings compliments of you and is grateful for you in taking care of her. Thank you for everything!</t>
  </si>
  <si>
    <t>Old Malay female staff at the emergency department ward admission need some customer service training - no proper communication and is generally dismissive</t>
  </si>
  <si>
    <t>Good: Shuttle buses come very frequently to help patients get to the inner parts of the hospital Suggestion: Allow shuttle buses queueing up behind to alight passengers first especially at the TEL and Block 2/3 stops. Many times the shuttle buses queue up (due to high frequency) and then the shuttle buses wait till the front then they can alight and pick up passengers. This whole process can be faster if shuttle buses at the back can alight passengers first (subject to safety) so that when these shuttle buses reach the front, they can straight away pick up passengers</t>
  </si>
  <si>
    <t>Utter disappointment in a public hospital in Singapore. Several visits to the hospital yields nothing but doubts in the professionalism, expertise of the healthcare system, especially if you're just an ordinary folk. Singapore's majority who could only afford public health care has no avenue to seek recourse, and can only suck it up and stuffer in silence. Cases of negligence, highlights of complaints/feedback sent to the hospital are often not sincerely/seriously attended to..they wouldn't care less anyways, since system works to the benefit of protecting their staff. And little wonder that there's so many negative reviews. I do hope our Health Minister could send officers to visit the hospitals incognito, to really find out what is happening on the ground and the silent sufferers of all who seek medical aid in public hospitalz.</t>
  </si>
  <si>
    <t>Worst experience. No vein still poke. Poke one hand so many times. I don know how they employ nurses. If don know how to poke don poke get a specialist to do. Really stupid. My dad hands all swollen because of their stupidity.</t>
  </si>
  <si>
    <t>the hospital inpatient and outpatient medical charges must be affordable for the people with financial background families.at the present time,medical bill charges in this hospital is like a legal daylight robbery charges.</t>
  </si>
  <si>
    <t>Came to this hospital with my mum due to her liver issue. The outpatient clinic is a horror n a time waster for each appointments. Even with months ahead of scheduled appointments, the timing given seems pointless. All patients mostly elderly need to wait for at least a min of 2hrs or more before they can see the doctors. Very bad time management. Though some doctors are nice, there are still some doctors who hav a unsympathetic n nonchalant attitude to patients. I ever met one doctor who ask me to go Google online when I ask him about a certain term description which I don't understand. He don't bother explaining anything. From the checks up procedure, appointments, documents required for testing... whatsoever were not explained clearly. We were expected to know everything. Perhaps they don't bother much for government subsidies patients as compared to those who pay the full amount.</t>
  </si>
  <si>
    <t>Subject: Feedback and Concerns Regarding Isolation Ward and Post-COVID Care Dear Singapore General Hospital, I am writing to express my concerns regarding the recent admission of my father to your hospital after he tested positive for COVID-19. While I appreciate the prompt diagnosis and care provided, there are several issues that need to be addressed. My father, who has underlying conditions such as Parkinson’s disease and mild dementia, was placed in the Isolation Ward. However, I observed that this ward housed 2 to 3 other patients with contagious illnesses, and these patients were neither masked nor shielded from each other. This raises a critical question: What is the definition of "Isolation Ward" at SGH when patients are not truly isolated from one another? Additionally, I am deeply concerned about the treatment my father received. The COVID-19 treatment administered seems to have triggered delirium, further complicating his fragile condition. Despite his confused state, the attending doctor mentioned that he could be discharged. This raises another pressing concern: Who will be responsible if anything happens to him at home, given his current state of mind and the challenges we face in managing his care? I would greatly appreciate a response from the higher authorities regarding these concerns: The hospital’s definition and implementation of isolation protocols in such wards. The rationale behind discharging a patient in a state of delirium and the associated risks for both the patient and caregivers. Thank you for your attention to these matters. I look forward to hearing from you soon and hope for a constructive resolution. Sincerely, Jean</t>
  </si>
  <si>
    <t>Reposting this because previous reviews were deleted for some reason. We had an extremely disappointing experience with Heng-Gref services, arranged by SGH to bring a relative home. Upon arrival at the hospital, the SGH nurses informed Heng-Gref's team about a faulty medical syringe pump needed to administer medication on the ride home. The team was unable to troubleshoot the issue. A replacement finally arrived, causing an unacceptable delay given the patient's critical condition. When the ambulance finally reached, the patient was not receiving proper oxygen support as his mask was not covering his mouth or nose. This was utterly unacceptable, and when I requested the staff to place it correctly, he dismissively asked us to wait. We were left in the dark about how long the patient had been without proper oxygen support, as only the staff were at the back of the ambulance with him. Another staff member callously informed us that the undertaker would later remove some tubes. Regardless of the patient's state, such a comment was disrespectful and unacceptable. Nobody, especially in end-of-life care, should be subjected to such insensitivity. We wrote to Heng-Gref as instructed by SGH and received a reply that mentioned that a staff involved was issued a formal warning letter and offered reimbursement of $200, which is not even half of the service cost we paid. This experience with Heng-Gref has been deeply disappointing and distressing, causing us significant emotional distress during an already difficult time. We have also not heard back from Heng-Gref since. Please avoid their services where possible.</t>
  </si>
  <si>
    <t>Phlebotomists are very fast, efficient, and friendly, and the counters opened half an hour before the official opening time of 8am. Blood taking was speedy and fuss free, and am thoroughly impressed.</t>
  </si>
  <si>
    <t>I had an absolutely awful experience at SGH in October 2020 as inpatient. They took over a week to carry out the necessary scan and they gave me the wrong medication that actually made me very sick. I submitted a complaint but after their initial reply I was ignored. I requested and paid for my medical records and they refused to provide my full records claiming that "they are property of the hospital" so that best I could get was a redacted version missing key information. I would have never expected to receive this kind of treatment in any hospital.</t>
  </si>
  <si>
    <t>I wish to express my dissatisfaction with the service provided at your facility recently. My uncle, who suffers from diabetes, experienced a second-degree burn on his left shoulder and sought treatment at your hospital. Unfortunately, the service we received was extremely poor, leading to significant distress and concerns. Firstly, the wait time exceeded six hours, which is absolutely ridiculous for any medical emergency. During this prolonged period, no adequate attention was given to my uncle's condition (except for the female nurse who gave my uncle a coolong pack), despite the severity of his injury and medical history. He was left waiting without proper care until we decided to seek help elsewhere. Moreover, it is shocking to see that SGH lacks essential medical supplies, such as cooling packs. The nurse informed us that they had to retrieve a cooling pack from an ambulance due to shortages within the facility. This whole hoo hah resulted in the worsening of my uncle's condition, with the blisters on his shoulder increasing in size and severity. Additionally, while waiting at the A&amp;E, my mother witnessed another patient experiencing a serious issue with their IV drip, causing profuse bleeding from the arm. The response from the nursing staff was questionable? She simply asked the patient to wait without providing them any cloth or gauze to stop the bleeding. The lady waited quite awhile before a male nurse actually attended to her. The overall level of care and professionalism demonstrated by SGH fell far short of expected standards, resulting in unnecessary suffering and distress for patients in need of assistance. I urge you to investigate this matter thoroughly and take appropriate steps to prevent similar incidents from occurring in the future. Patients deserve prompt and competent medical attention, particularly in emergency situations. I hope you guys will relook into the SOP and address these concerns promptly and provide assurance that measures are in place to improve service delivery and patient care at your facility. Ps. Shoutout to the nurse who gave my uncle a cooling pad. She was great. The others, not so.</t>
  </si>
  <si>
    <t>Went here for one of my family appointments. I will keep this short. Bad scheduling times (never on time with their appointments) Inefficient communication (gave us wrong information THREE times, wasting our time and making rebook THREE whole times) Don't go here unless you want to waste time with trained 'professionals' who can't even pass general communications class. If this is just their communication services, I don't want to be someone under the knife in their hands. Maybe there's a reason why you have so many 1 star reviews. I would put 0 if I could.</t>
  </si>
  <si>
    <t>Friendly staff at entrance. But at lobby the first sentence we got was „3 hours wait time eh, can go Raffles Hospital“. Not sure how emergencies can wait 3 hours for triage and not sure what to think about the attitude of the lobby staff either.</t>
  </si>
  <si>
    <t>My mother was hospitalised on the 14th of march 2024 in the morning. As there was no room available, my mother stay at the a&amp;e ward until the next day ard 9pm, an officer attended to my mother and he asked her whether she wants to stay in ward c or b. My mother said B1 but a B2 ward was given to her instead. Due to my mother’s pre exisiting illness prior the purchase of the insurance plan, the hospital has to request for an e log from the insurance company in order for my mother to switch to a better ward. My financial advisor had performed her due diligence by calling in to the claim department to expedite the process and also remind sgh to request for e log. however, she was informed by SGH that they had an assigned officer called Natasha to manage my mother’s case and only that officer can request for e Log. I had also filled up the form online to request to stitch room for my mother but no one returned my call to provide updates. When my financial advisor called the patient liaison office on the 20th March, she was told that there was no such person by the name Natasha. No one seems to be free to pick up calls in the business office as well. So my financial advisor had to call the ward and the nurses referred her to the business office again but no one answer the call. My request to stitch room is being ignored until one day prior my mother’s discharge, the nurse called to inform me that there is a better ward but I rejected the upgrade as I see no point in switching room as there is only 1 night left. I am very upset and disappointed with the service provided by Sgh as my mother’s stay in the hospital was not a comfortable one, mainly because there was no toilet inside the b2 ward room. Being critically ill, it was not convenient for my mother to go to the toilet, as even walking a short distance tires her. While I understand that the hospital is overwhelmed with many patients, there should be more efficiency and responsibility in handing the patients’ request. Even if there is no rooms available, updates should be provided. Do have more empathy towards the patients and their family’s members who are already in distress. In addition, my brother’s request to get an extra pillow for my mother is also being denied by the nurse who said that there are insufficient pillows in the ward. Such a BIG hospital but can’t even spare 1 extra pillow? The pic also shows how my mother’s breakfast was served to her. On that day, she has to take her breakfast very early as she has to do a ct scan, as shown in the picture, dry bread, jam and butter was shoved into a plastic container with no utensils and this food is of low nutritional level for a cancer patient. There is not even an egg. It also seems that the person who prepares the breakfast is in a hurry to get her job done.</t>
  </si>
  <si>
    <t>Shoutout to Nurse Monica Yeo from SDA Operating Theater! She provided exceptional care after my surgery, going above and beyond by sharing her own personal experience as a patient. What's truly inspiring is her positivity and warmth, despite being 77 years young! Her bright smile and kindness made a huge difference in my recovery. I hope hospital management recognizes and retains talented nurses like Monica, who spread joy and positivity. She's a true asset to the hospital!</t>
  </si>
  <si>
    <t>My father has admitted to this hospital. He has blood cancer. The behaviour of doctors is really good. They listen from patients with patience. But the behaviour of nurses need to be improved. The most important thing is the treatment cost is a little bit cheaper than any other hospital in Singapore.</t>
  </si>
  <si>
    <t>Edited 4 months ago</t>
  </si>
  <si>
    <t>I was so lucky to have found Doctor Chia Zi Yang, a kind, skilful and a very experienced surgeon at the musculoskeletal center, SGH. My friend had asked me to reach out to him for my knee problem after her knee surgery had gone remarkably well under his care. Today, l am pleased to share my experience after having my knee surgery done. The outcome was miraculous, totally pain free, the operated leg straightened and the ability to walk smoothly without clutches on my 5th day after surgery. Indeed the surgery was successful and very quick recovery. Understand Doctor Chia had employed a new advanced technique without cutting patient's muscle and tendons to speed up patient recovery. We are incredibly grateful to have such a brilliant orthopaedic surgeon! After the surgery, l was being admitted into ward 76, Blk 7, Room 12. From the time of admission to discharge the next day, one is met with understanding, compassion and care from the staff. Nurse Lim Min and care associate Myo Thant Naung stood out at service delivery who always maintained their cool even under stress and demanding patients. Thank you all, keep up the good work !</t>
  </si>
  <si>
    <t>I recently have a really disappointing visit with Dr Woo Keng Thye who is a senior and supposed to provide a better example. He has no interest to hear what I say, even to a point where he mocked my condition as a bad disease (what disease is good actually?). He’s telling me to get off as soon as possible, only answered my open-ended questions with yes-and-no, and to “take my things and go” which are 2 of my medical reports that he doesn’t even bother to read in details. I paid $230 dollars only to have this experience. My suggestion to SGH and the Dr is to block certain races or nationalities to visit him if he doesn’t want to see our faces. Kindly don’t bother.</t>
  </si>
  <si>
    <t>SGH has prominently displayed posters advocating for the respect of healthcare workers, a sentiment with which I wholeheartedly agree, irrespective of these visual reminders. However, it is only fair to expect reciprocal consideration. We kindly request that you value our time, given that appointments are scheduled not merely days in advance but months ahead. We anticipate a seamless scheduling system, yet consistently, on every occasion, we endure waiting times exceeding 1 hour without any communication regarding the delay! This is ridiculous. Additionally, there seems to be a lack of compassionate engagement from the doctors, creating an impression of a profit-centric approach rather than a patient-centric one. As patients, we enter with concerns and seek timely updates, fostering an environment of trust. Effective communication and mutual respect are essential in this relationship. Regrettably, the SGH feedback website appears to be non-functional, hindering our ability to provide constructive input. This raises questions about the alignment of service delivery with the standards expected of a first-class medical center.</t>
  </si>
  <si>
    <t>Had a good experience in the ENT Centre with Dr Png. He was very patient and answered all of my questions in detail. The only downside is the long pharmacy queue (45mins-1hour wait).</t>
  </si>
  <si>
    <t>From the moment my mother was referred to Dr. Choo Chai Teck at SNEC, our journey took a positive turn. Dealing with a tumour behind her right eye, we felt incredibly fortunate to have Dr. Choo's expertise on our side. His skillful surgery and genuine concern for our well-being were evident throughout the process. This was a stark contrast to a previous negative experience with another doctor who lacked the necessary expertise. Dr. Choo's professionalism and compassion during such a difficult time were invaluable to us. I wholeheartedly recommend Dr. Choo to anyone in need of an experienced and skilled doctor for tumour removal. Following the surgery, we received thorough instructions from Dr. Choo and his team, and we were discharged the next day with confidence. Kudos to Dr. Choo and his team for their exceptional care. We are deeply grateful beyond words. The nurses at SNEC maintain high standards of hygiene and professionalism, and we were warmly welcomed by them. I would like to further express my gratitude towards the following staffs: I extend my appreciation to Ms. Kueh Jee Kim from SNEC for her exceptional care and service during my mother's operation. Her attentiveness and dedication to ensuring my mother's comfort, convenience, and safety are truly commendable. The hospital is fortunate to have such a dedicated staff member like her. We express our gratitude to Ms. Thilini Fonseka and Siti Hajar Jaffar, the staff nurses who took care of us during our overnight stay. Thank you for your care and attention. I express my gratitude to Mr. Teo Poh Lim for his assistance in waiting with my mother and me for our GrabCar. He went above and beyond, ensuring my mother's convenience and safety by helping her open and close the car door. The hospital is fortunate to have such dedicated staff members like him who prioritize the well-being of every patient entering and leaving the premises. There's a wide variety of food options available from multiple eateries, all delicious and healthy. The environment is clean, with plenty of comfortable seating for patients waiting. Additionally, the numerous gardens with beautiful flowers and chickens provide a soothing green space for recovery. The availability of shuttle buses from the MRT station is a bonus for non-drivers. Moreover, the transparency and affordability of food pricing are noteworthy. *In the eye test room located in the hospital ward blk 6 level 3, there were instances of hygiene lapses by both the doctor and nurse. These lapses included neglecting to sanitize before handling fresh wounds, demonstrating impatience with patients by conducting the eye test under the brightest light with raised voices, and exerting unnecessary force to pry open swollen eyes.* The majority of nurses still offered a positive overall experience for us.</t>
  </si>
  <si>
    <t>Review</t>
  </si>
  <si>
    <t>Years ago</t>
  </si>
  <si>
    <t>Time</t>
  </si>
  <si>
    <t>Hospital</t>
  </si>
  <si>
    <t>SGH</t>
  </si>
  <si>
    <t>NUH</t>
  </si>
  <si>
    <t>TTSH</t>
  </si>
  <si>
    <t>CGH</t>
  </si>
  <si>
    <t>MEH</t>
  </si>
  <si>
    <t>MAH</t>
  </si>
  <si>
    <t>MENH</t>
  </si>
  <si>
    <t>GH</t>
  </si>
  <si>
    <t>Public</t>
  </si>
  <si>
    <t>Private</t>
  </si>
  <si>
    <t>Number of reviews</t>
  </si>
  <si>
    <t>Total</t>
  </si>
  <si>
    <t>Ive been hospitalized at Gleneagles many times, and my experience on Level 10 just keeps getting better . Doctors are top-notch, nurses genuinely caring, and the TLC from staff has become more polished with every visit. Its a huge comfort knowing youre in safe, attentive hands while staying in an environment that feels calming and premium . In the past, mornings at admissions felt understaffed   but Im glad to see theyve stepped up. Today, service flows smoothly, and it shows how much Gleneagles is evolving. For me, this remains the gold standard of private healthcare in Singapore  consistent, comforting, and always improving .</t>
  </si>
  <si>
    <t>Decided to try Gleneagles. The whole experience was excellent. All the nurses are very switch on and helpful. Constantly keeping you informed of how long the expected wait and very polite. Totally impressed. The Malay lady at the cashier was very efficient, thank you Hafizah and Dr Adrian Wong who attended to me. The best private hospital Ive tried in Singapore so far. Please maintain this standard always.</t>
  </si>
  <si>
    <t>Visited their A&amp;E at about 2am on a Thurs night. Efficient service with friendly staff. Doctors and nurses were professional. Waiting time was around 30-45minutes as promised when I dialed before going down. Its easily identifiable and you can navigate the space rather easily. Parking also available in the compound itself or at the A&amp;E section of the building. Thank you team.</t>
  </si>
  <si>
    <t>Having continuous renovation noise while still admitting patients to the wards around the renovation level is very irresponsible. How can patients get good rest with the constant drilling and hacking noise? No doubt running a hospital is a business, but sacrificing patients rest for the sake of ensuring earnings is maintained, is not being fair; its not that your hospital is giving discounted rate for staying through the noise. The nurses were very apologetic, but it is not their fault; and they have been very attentive to the patients needs.</t>
  </si>
  <si>
    <t>I received only the best care and truly felt like a VIP - KUDOS to all the nurses and staffs during my admission to Ward 8 East! I appreciate your hardwork and dedication, our modern-day heroes.  I am also grateful to Dr. Thng Yongxian, Dr. Ho and team for my successful surgery. The incredible Dream Team who played a big role in my speedy recover. ️</t>
  </si>
  <si>
    <t>My father passed away in the ICU there. The nurse that took care of my Dad, it was her last day in the hospital and the staff celebrated her last day in a not so subtle way. There was laughter and photo taking,,,, all these happened while the relatives were so sad with their loved ones s lives were hanging by a thread in the ICU. And the physiotherapist who did UCU respiratory physiotherapy on my Dad,, he was the worst,,, was so rough on my Dad,,</t>
  </si>
  <si>
    <t xml:space="preserve">Gleneagles Hospital    Trusted private hospital with a strong reputation   Professional, caring, and attentive medical staff   Modern, clean, and well-equipped facilities   Calm and comfortable environment for patients   Convenient location near Orchard A place where healthcare feels reassuring and well cared for </t>
  </si>
  <si>
    <t>this hospital is so old and in bad need of upgrading . A&amp;E is outdoor makeshift with so aircon so we are under heat with fans only for a few hours ; lifts to wards dont work; warm room TV cant be adjusted, the bed is so old with tall bed frames that block patient views ; aircon is not working (still waiting for engineers ) .</t>
  </si>
  <si>
    <t>I had an amazing experience at Gleneagles Hospital for my delivery. The staff was incredibly warm and supportive, making the whole process much smoother than I expected. The nurses were absolutely wonderful, providing excellent care and making sure I felt comfortable throughout. The food was also fantastic  definitely exceeded my expectations. I truly appreciated the attention to detail and the overall caring environment. Highly recommend this hospital for anyone looking for exceptional care!</t>
  </si>
  <si>
    <t>Ive been admitted here twice. I am grateful for the excellent staff, nurses and all the healthcare workers here for taking good care of me and recover in the shortest time. And not forgetting Dr Ng KH for his magic on my surgery. Thank you.</t>
  </si>
  <si>
    <t>Gleneagles Hospital overcharged us during childbirth by admitting our newborn to the NICU. When the baby was transferred to KK Hospital, they discharged the infant immediately. During the 1 day stay in NICU, our baby was subjected to repeated and seemingly unnecessary needle procedures. Additionally, the nursing staff fed the baby a formula that caused vomiting. Although we requested a change in formula, it was only temporarily adjusted  and was later switched back to the original formula after a nurse shift change.</t>
  </si>
  <si>
    <t>I had a day surgery at gleneagles yesterday and as usual I was extremely happy with how all the staff from check-in in to nurses preparing for my ward to the operating theatres staff to be extremely friendly and make the entire process pleasant although surgery is never pleasant. The check out night nurse were particularly caring also. I had a very through anesthesiologist who explained every step what he was doing and he calmed my nerves. When we are in surgery under GA its important to me that I feel comfortable and feel I am in good hand and i definitely felt so.</t>
  </si>
  <si>
    <t>Very bad services from Ayu at the reception. Yes we came late for the maternity tour, but she didnt even bother to explain their packages since we are already here, and hinting us to leave. Wasted our effort to come all the way here. Do not recommend given it is a private hospital but lousy services.</t>
  </si>
  <si>
    <t>Had my day surgery few months back. Im extremely happy with the services provided and the medical procedures were done at ease. Doctor and nurses were friendly and always make sure you are well treated. Thank you so much for taking care of me</t>
  </si>
  <si>
    <t xml:space="preserve">rude and condescending staff across. admissions and specialist centres. Charges were never clear. Explanation is simply reading line item. Stuck up attitude which can make the most tolerable people sick to their guts Change your core values to Payments First! So so sickening </t>
  </si>
  <si>
    <t>We arrived at Singapore General Hospital (SGH) around 2+ pm, and its now almost midnightwere still trapped here waiting with no end in sight. My wife suddenly experienced severe blurry vision and sharp pain in her right eye. We waited about 3 hours before seeing the first doctor for an initial eye assessment, only to be immediately referred to a specialist, which meant another roughly 2-hour delay. All this time, she has been extremely dizzy (giddy) and has vomited at least 10 times. The specialist then sent her right back to the original doctor to address the giddiness specifically. After yet another 12 hour wait, they finally administered an injection for the dizziness. Now, post-injection, were back to waiting to see the doctor againalready over 2 hours and still counting. We havent eaten or drunk anything since 2 pm. The entire process has been utterly exhausting, chaotic, and poorly coordinated. Were left sitting here for hour after hour with zero meaningful updates or sense of progress. Its bad enough being extremely worried and anxious about my wifes serious symptoms, but enduring this prolonged, torturous wait in the hospital has pushed the whole experience into nightmare territory. This level of disorganization and delay is unacceptableespecially for someone in clear distress.</t>
  </si>
  <si>
    <t>My mother has been in the new A&amp;E observation area since 9 Feb noon. Its now almost 6 pm on 10 Feb and she still hasnt been allocated a bed. 30 hours and still waiting. I understand from my mother that the observation area is very noisy due to the presence of family members. As per SGH rules, family members are not allowed in the observation area. My mother was re- admitted to A&amp;E at SGH and has been waiting for a ward bed for over 24 hours. The hospital is unable to provide an estimated update on bed availability across the different ward classes. As a result, we are unsure whether we should continue waiting in the current queue or consider upgrading to another ward class, which may involve an even longer wait. I sincerely hope SGH would improve on the admission process.</t>
  </si>
  <si>
    <t>I would like to express my sincere appreciation to Mavis Tan and Reeve Chan from Blk 2 Level 1 at Singapore General Hospital. I recently underwent an MRI scan without sedation  something I had never been able to do during my previous MRI experiences. This achievement would not have been possible without their exceptional care and support. Both Mavis and Reeve took great measures to ensure I felt safe, reassured, and completely comfortable throughout the entire process. They patiently explained every step, checked in on me regularly, and provided constant encouragement. Their calm demeanor, professionalism, and genuine empathy significantly eased my anxiety. What truly stood out was how they went beyond their usual responsibilities  dedicating extra time and attention to ensure I was coping well and felt confident enough to complete the scan successfully without sedation. Their kindness, dedication, and commitment to patient-centered care reflect the highest standards of service excellence. Please extend my heartfelt thanks and appreciation to both of them.</t>
  </si>
  <si>
    <t>Absolutely horrible experience at SGH yesterday and Head &amp; Neck center I waited 4 hours for my appointment, from 9am to nearly 1.20pm, and watched every single patient who came after me get seen first. I was the only one left in the waiting area. When I asked the staff if a 3-hour wait was normal, I was just told, Sometimes, because the doctor is busy. At the 4-hour mark, I really couldnt take it anymore. I asked another staff member for help, and only then did they bring my appointment slip to a nurse and get a junior doctor to see me first. At this point I was holding back tears at that point I was so emotional and tired. On top of that, their appointment booking and payment system is a mess. I had to personally go up to Level 1 just to get a queue number to book my CT scan, then go down to B1 to select a date. After that, I had to go back to the clinic to pass the appointment details. When I simply asked a nurse to confirm whether I needed to pay today (since Im using Medisave), I got scoffed at, she literally said, I told you already, right? when I was just trying to double-check. As i nurse myself I was being so patient despite the long wait and poor communication, but this experience was beyond frustrating. If I had known it would be this bad, I wouldve gone to NUH instead  or at least had lunch first. I just wanted to leave. This is not the level of care or organisation I expect from a major hospital.</t>
  </si>
  <si>
    <t xml:space="preserve">Had my health assessment at SGH this February 2026 In my experiencr, doctors, nurses and staffs are friendly and efficient I would recommend </t>
  </si>
  <si>
    <t>I had a very disappointing experience at this hospital compared to Alexandra Hospital. I waited for over 8 hours, only to be told I would be admittedbut the doctor showed a lack of professionalism and empathy. The consultation was brief, and I was simply told, I cant find anything; you can be discharged. Throughout my stay, I felt that the medical team did not genuinely care about how I was feeling. Doctors would come by in the morning, say just a few words, and disappeareven when the situation felt urgent. It was disheartening. What upset me most was being told that my condition was caused by stress and that I should just control my emotions. I expected a more thorough examination and understanding, not judgment or dismissal. I hope the hospital can reflect on how they treat patients who are already in distress.</t>
  </si>
  <si>
    <t>Set appointment for procedure but not consulted by any Doctor on the procedure. We are Paying Patients. Public Health in Singapore is NOT FREE like other countries (like some of your staffs came from). So treat us like Customers instead of Beggars. For all you know, the degree you got for medical practice are subsidised by Taxpayers Money. The very people you are treating. We are definitely not your Guinea Pigs or Lab Mouse.</t>
  </si>
  <si>
    <t>The attitude of the emergency staff was extremely poor! I just wanted to inform them that my mother was going to the restroom, but a man wearing glasses warned me that this was the last warning! I honestly dont know what rule I supposedly violated. I sincerely hope that we can be treated with respect! Please improve the professionalism and quality of the staff!</t>
  </si>
  <si>
    <t>Dr Steven Mesenas is highly inpatient and unprofessional. He is unable to give proper advice as a specialist in Gastroenterology. He brushes you off when youve pain and questions. Unable to answer your questions and contradicts with his own advices. Highly avoid this specialist. Disappointing nurses and staff.</t>
  </si>
  <si>
    <t>I would like to express my deepest gratitude to all the management and staff of SGH for the care and support I received during my treatment. A special thank you goes to Assoc Prof Chan Weng Hoong for his unwavering confidence and professionalism throughout this journey. I was extremely fearful and even considered backing out multiple times, but his calm assurance gave me the strength to carry on. Im also very thankful to the young, handsome surgeon and the kind and pretty doctor assisting Prof Chan, who administered the local anesthesia before treating my infected wound. Their patience and gentle manner made the experience far less painful and much more bearable. I truly appreciate the way they handled everything with such care and empathy. In contrast, I had a rather unpleasant encounter in the A&amp;E department where a doctor insisted on proceeding without anesthesia, claiming it wouldnt work on infected wounds. When I refused, he threw the scalpel on the table and walked off. Strangely, he returned hours later and even asked if the anesthesia workedleaving me quite stunned by the lack of consistency in his approach. My heartfelt thanks also go to Staff Nurse Loh Hui Tian in the high dependency ward. Despite her heavy workload, she remained friendly and attentive, always remembering and responding to patients needs. And most of all, I want to express my deepest appreciation to the ever-lovely Nurse Angelina. She took care of my wound dressingsa process that was extremely painful and terrifying for me. Despite my screams, she never once lost her patience. Instead, she comforted me with jokes, gentle conversation, and even calming music. Beyond her duties, she continued to check in on me through WhatsApp, responding even on her off days and public holidays. Her supportboth physical and emotionalmeant the world to me. Lastly, I want to commend SGH for their compassion towards elderly patients. Unlike some places that dismiss the elderly by saying theres little that can be done, SGH genuinely puts in the effort to treat them with dignity and respect. I saw this firsthand and it truly touched me, especially after what my 90-year-old grandmother experienced at another hospital. A big shout-out to all the staff and management at SGHthank you, from the bottom of my heart. Your kindness and dedication have made all the difference.</t>
  </si>
  <si>
    <t>Subject: Feedback and Concerns Regarding Isolation Ward and Post-COVID Care Dear Singapore General Hospital, I am writing to express my concerns regarding the recent admission of my father to your hospital after he tested positive for COVID-19. While I appreciate the prompt diagnosis and care provided, there are several issues that need to be addressed. My father, who has underlying conditions such as Parkinsons disease and mild dementia, was placed in the Isolation Ward. However, I observed that this ward housed 2 to 3 other patients with contagious illnesses, and these patients were neither masked nor shielded from each other. This raises a critical question: What is the definition of "Isolation Ward" at SGH when patients are not truly isolated from one another? Additionally, I am deeply concerned about the treatment my father received. The COVID-19 treatment administered seems to have triggered delirium, further complicating his fragile condition. Despite his confused state, the attending doctor mentioned that he could be discharged. This raises another pressing concern: Who will be responsible if anything happens to him at home, given his current state of mind and the challenges we face in managing his care? I would greatly appreciate a response from the higher authorities regarding these concerns: The hospitals definition and implementation of isolation protocols in such wards. The rationale behind discharging a patient in a state of delirium and the associated risks for both the patient and caregivers. Thank you for your attention to these matters. I look forward to hearing from you soon and hope for a constructive resolution. Sincerely, Jean</t>
  </si>
  <si>
    <t>My son came down with bad allergic reaction and terrible mouth ulcers. We went to CGH and they refused to listen to us and even with our family doctor letter of recommendation for admission as he had not eaten for 2-3 days and drank very little water due to the intense pain. After being refused in CGH, we went to SGH. Although the A&amp;E wait was very long, the doctor listened to us and respected our GPs recommendation and admitted him. SGH provided such excellent care and their services were so wonderful that my son felt better in 2-3 days and was finally discharged in the pink of health again. Kudos to SGH and their team of healthcare providers.</t>
  </si>
  <si>
    <t>Friendly staff at entrance. But at lobby the first sentence we got was 3 hours wait time eh, can go Raffles Hospital. Not sure how emergencies can wait 3 hours for triage and not sure what to think about the attitude of the lobby staff either.</t>
  </si>
  <si>
    <t>My mother was hospitalised on the 14th of march 2024 in the morning. As there was no room available, my mother stay at the a&amp;e ward until the next day ard 9pm, an officer attended to my mother and he asked her whether she wants to stay in ward c or b. My mother said B1 but a B2 ward was given to her instead. Due to my mothers pre exisiting illness prior the purchase of the insurance plan, the hospital has to request for an e log from the insurance company in order for my mother to switch to a better ward. My financial advisor had performed her due diligence by calling in to the claim department to expedite the process and also remind sgh to request for e log. however, she was informed by SGH that they had an assigned officer called Natasha to manage my mothers case and only that officer can request for e Log. I had also filled up the form online to request to stitch room for my mother but no one returned my call to provide updates. When my financial advisor called the patient liaison office on the 20th March, she was told that there was no such person by the name Natasha. No one seems to be free to pick up calls in the business office as well. So my financial advisor had to call the ward and the nurses referred her to the business office again but no one answer the call. My request to stitch room is being ignored until one day prior my mothers discharge, the nurse called to inform me that there is a better ward but I rejected the upgrade as I see no point in switching room as there is only 1 night left. I am very upset and disappointed with the service provided by Sgh as my mothers stay in the hospital was not a comfortable one, mainly because there was no toilet inside the b2 ward room. Being critically ill, it was not convenient for my mother to go to the toilet, as even walking a short distance tires her. While I understand that the hospital is overwhelmed with many patients, there should be more efficiency and responsibility in handing the patients request. Even if there is no rooms available, updates should be provided. Do have more empathy towards the patients and their familys members who are already in distress. In addition, my brothers request to get an extra pillow for my mother is also being denied by the nurse who said that there are insufficient pillows in the ward. Such a BIG hospital but cant even spare 1 extra pillow? The pic also shows how my mothers breakfast was served to her. On that day, she has to take her breakfast very early as she has to do a ct scan, as shown in the picture, dry bread, jam and butter was shoved into a plastic container with no utensils and this food is of low nutritional level for a cancer patient. There is not even an egg. It also seems that the person who prepares the breakfast is in a hurry to get her job done.</t>
  </si>
  <si>
    <t>I recently have a really disappointing visit with Dr Woo Keng Thye who is a senior and supposed to provide a better example. He has no interest to hear what I say, even to a point where he mocked my condition as a bad disease (what disease is good actually?). Hes telling me to get off as soon as possible, only answered my open-ended questions with yes-and-no, and to take my things and go which are 2 of my medical reports that he doesnt even bother to read in details. I paid $230 dollars only to have this experience. My suggestion to SGH and the Dr is to block certain races or nationalities to visit him if he doesnt want to see our faces. Kindly dont bother.</t>
  </si>
  <si>
    <t>I gave birth not too long ago, in late July 2024 (Dragon Year). The hospital was extremely busy at that time. When I was admitted, I was placed in the delivery standby area rather than the delivery suite. My gynae appeared to be managing two other deliveries at the same time, and I felt that my case was not given sufficient attention. I also felt that my labour was prolonged through slow induction, without proper monitoring or an early scan to assess my babys position. At 39 weeks pregnant, I experienced bleeding and was admitted through A&amp;E. No scan was performed initially. I was advised to induce, as it was said that my water bag had broken and there was a risk of infection. I underwent two rounds of induction, followed by approximately 1016 hours on an oxytocin drip. Despite nearly 30 hours of labour (including two attempts at anaesthesia), I was still unable to dilate. Only after almost 30 hours did the medical team finally perform a scan. It was then discovered that my baby was in an unfavourable position, which explained why I could not dilate. By that time, my baby had passed motion in the womb and developed meconium due to stress. I eventually had to undergo an emergency C-section under private rates, while still being billed for natural delivery. I was also given continuous antibiotics while I was still pregnant, which raised concerns for me regarding the impact on my baby. After birth, my sons tongue tie and lip tie were not identified. He later underwent a tongue-tie procedure under general anaesthesia at NUH, but during the surgery, the lip tie was still not noticed. As a result, he now has to undergo a second procedure for the lip tie. When he was an infant, I experienced significant pain while breastfeeding, but I was repeatedly told that it was normal without any proper checks being done to assess for tongue or lip tie. I was seeing a NUH gynae under private rates, and my gynae was Dr Chua Tsie Meng. While some nurses were kind and supportive, I also encountered unprofessional and rude behaviour from certain staff members, including being given unpleasant attitudes. Overall, my experience with NUHs maternity and paediatric care was unsatisfactory. I do not understand why a scan could not be done upon admission and instead was delayed for almost 30 hours, leading to unnecessary prolonged labour and an emergency C-section. Based on my experience, I would personally not choose to deliver at NUH again.</t>
  </si>
  <si>
    <t>Our family would like to express our heartfelt gratitude and deepest appreciation to all the medical and support staff at National University Hospital (NUH). Our daughter was admitted through the Emergency Department on the morning of the 6th this month and stayed for four days. What began as an incredibly stressful and frightening time for our family was gently eased by the professionalism, compassion and warmth shown by every member of the NUH team. Because of you, those difficult days became ones filled with reassurance, trust and quiet strength. Our sincere thanks go to the Emergency Department doctors, nurses and front-desk staff; the ward doctors, allied health and nursing teams; all healthcare professionals and medical social workers; the medical students, nursing trainees and healthcare assistants who came through the ward; the meal service and housekeeping teams working diligently behind the scenes; the staff at Zone F Visitors Registration and PSA; as well as the Discharge Lounge team. From admission to discharge, not once did we feel overlooked or unattended. Every interaction was met with patience, professionalism and genuine kindness. In our most anxious and vulnerable moments, you cared not only for our daughters medical needs, but also for the emotional well-being of our entire family. Your calm reassurance, gentle words and thoughtful attention meant more to us than we can fully express. We truly experienced NUH as more than a hospital of outstanding medical expertise  it is a place filled with humanity, compassion and heart. To witness such consistent excellence, dedication and kindness across every department is deeply moving. The standard of care we received stands proudly alongside, and even surpasses, many private healthcare experiences. In the midst of urgency and emotional stress, we regret that we were unable to note down every name to thank each of you personally. Please accept our sincere apologies, along with our heartfelt appreciation to every staff member who cared for our daughter  whether seen or unseen. Thank you for caring not only for patients, but also for the families who stand beside them. Your professionalism, dedication and kindness will remain in our hearts long after discharge. May you always be blessed with strength, smooth days at work, good health and happiness in life  just as you bring comfort, hope and healing to so many families each day.</t>
  </si>
  <si>
    <t>I am extremely thankful to Dr. Vanaja, who I truly feel was nothing less than a god-sent during my delivery. Especially as a first-time mother, her guidance, reassurance, and presence at the most crucial moment meant everything to me. She is incredibly empathetic, calm, and understanding, and her words gave me immense confidence when I needed it most. Because of her, my delivery experience felt safe, positive, and smooth. Although Dr. Vanaja came in specifically for the delivery, from the very beginning and throughout the long hours before that, the nursing and medical team supported me exceptionally well. Mai Foong, Eng Sin, Shao Hung, Dr. Caitlin, Sossany, and Mary Stella (night shift nurse) encouraged me continuously, guided me patiently, and ensured I was never alone or fearful. A special heartfelt thank you to Mary Stella, whose night-shift care, kindness, and constant encouragement helped me through some of the toughest moments, and to the doctor who administered the epidural so smoothly and professionally. This entire team worked together with such compassion and dedication, and because of them, I had a truly smooth and memorable delivery. I will always be grateful for their care and support, and I highly recommend them to all expecting mothers, especially first-time moms.  Not forgetting their food was of great taste too.</t>
  </si>
  <si>
    <t>Hello everyone I have appointments two today so I left my about 11.00 am with my mother because I frist appointment at 12 pm that is BIMD SPINE AND HIP AT Level 4 Medical center that finished. Now I m waiting for my another appointment at 13.30 pm at level 13 medical center the same medical center but the level is different now only doctor came I still waiting for my doctor I just finished waiting for my MC. The nurse's &amp; doctor's are very friendly and very kind. It wheelchair accessible it seems young I was seens by all the doctor there the doctor know me very well ️</t>
  </si>
  <si>
    <t xml:space="preserve">Our 2.5 year old daughter was hospitalised for more than a week, for the extremely rare Kawasaki Disease at NUH back in October last year. My husband and I are still so grateful and impressed by the entire care team of the paediatric department, including the nurses who were so sweet and kind towards her (even though our daughter kept crying every time they approached her). They took such great care of our sick daughter and really reassured us as parents amidst that difficult period of time, all the way from the beginning (i.e. triage at childrens A&amp;E) to the end (i.e. outpatient follow-up appointments to clear her heart of long-term complications). Even though my husband is medical and I am not, the doctors always made sure I fully understood what was going on (in layman terms) with our daughter and never made me feel left out, which was something I truly appreciated. As such, we would like to give a shoutout particularly to this team of doctors, comprising of: Dr Seo from childrens emergency who picked up on KD early and helped our daughter get the necessary treatment in time; Dr Deepan, Dr Elizabeth, Dr Rie and Dr Pauline from the Paeds department who took such great care of our daughter throughout her hospitalisation even when she got extremely cranky, and finally Dr Qiao Zhi from the paediatric cardiology department who even slotted our daughters follow-up echo scan when his schedule was already full, so that she could be taken off her steroid medication earlier. Ive always been inclined towards private healthcare, but witnessing the competence, passion and love this team of doctors have for their jobs and the children whom they serve completely changed my mind towards public healthcare. </t>
  </si>
  <si>
    <t>Happened four years ago, but now that Im days away from delivering my third babyat a different hospitalI cant stop thinking about the traumatic delivery of my second child at NUH. Need to get it off my chest. My overall experience with NUH O&amp;G had been difficult. Clinic waiting times were extremely long; even with morning appointments, you could expect to be there until late afternoon. The PSAs were often unfriendly, and I was led to believe that this was simply how public hospitals in Singapore operated. Only after switching hospitals did I realise how untrue that was. In September 2021, my water broke around 8am and contractions started soon after. My husband called the NUH delivery ward and was told to come down immediately. Five minutes later, a doctor from the O&amp;G clinic called me directly and said I needed to stop by the clinic first before going to the delivery ward. No explanation was given. We arrived around 9am. Because I had no scheduled appointment, I had to explain to an unfriendly PSA that a doctor needed to see me. Despite the hospital knowing I had already called the delivery ward and was in labour, I was not prioritised. I waited close to an hour while my contractions intensified. When I was finally seen, it wasnt by the doctor who had called me. I told the attending doctor I was in labour, but he barely acknowledged me and instructed his male resident to examine me. I was not asked if it was OK. The resident said I was 4cm dilated and that there was meconium leaking. Despite this, I was sent back out to wait because the delivery ward was full. I was still not yet told why I had been called to the clinic in the first place. Things quickly got worse. The clinic became more crowded, and I was placed on a gurney in the middle of the clinic near the exit. I was in active labour, screaming in pain, yet no one came to check on me. At least once, a PSA came over only to tell me to keep my voice down. Around 11am, a Caucasian female doctor noticed me and immediately intervened. After checking me, she said I was fully dilated and gloved up as she said I dont think well make it past the elevator. During the elevator ride, my baby was crowning. I managed to hold on until we reached the delivery ward, where my baby was born about a minute lateraround 11.30amstill not in a proper delivery suite. I was later sent to recovery and given a free upgrade to B1 because B2 was full. I never saw the doctor who had called me that morning. The next day, two doctorsthe male doctor from the day beforehand and a female gynae I had seen beforecame to my room and casually said, That was quite an experience yesterday. There was no apology. They then explained that I had been called to the clinic because a test suggested I had ICP and they wanted to discuss inducing me. I was confused since I was already in labour so the trip to the clinic wasnt necessary. I was 22 then. Now older, I realise I should never have been treated this way. ICP carries a risk of stillbirth. Meconium-stained waters increase infection risk. Yet I was left screaming in pain, ignored, and humiliated. This happened four years ago. I sincerely hope things have changedbecause no woman should ever have to go through what I did.</t>
  </si>
  <si>
    <t>I would like to express my heartfelt appreciation to the doctors and nursing staff of Ward 20, NUH for the excellent care given to my daughter Siti Nur'Ain throughout her stay From admission to discharge, the doctors were professional, attentive, and reassuring. The nurses were exceptionally kind and caring, ensuring my daughters comfort and well-being at every stage. Their patience and gentle approach made a big difference to us. A special mention of gratitude to the nurse, Ms Geewa who personally accompanied us all the way to the taxi stand upon discharge. This thoughtful gesture truly reflects the teams dedication and compassion. Thank you once again to all the doctors and nurses of Ward 20 for your professionalism, kindness, and outstanding care. Your dedication has given us great comfort and confidence during a challenging time.</t>
  </si>
  <si>
    <t>Had a kind of bad experience there. Went to visit a relative, cant remember the ward number, I think level 5 but bed 21, two nurses (1 male and 1 female) were there. Both of them were chit chatting and laughing loudly at the ward. One of them even used vulgar language when interacting with the other nurse. Isnt hospital ward supposed to be quiet so that patients can rest? They were happily chit chatting and talking louder than the visitors and patients. Wonder how much good standard of care can they provide to the patients there.</t>
  </si>
  <si>
    <t xml:space="preserve">Recently my child admitted to NUH. Was being brought here due to seizures by ambulance. Even though we are worried, panic and speechless with what is happening, the nurses and doctors here are very patient, kind, helpful and they did great. They really been there for us , answer all our questions with a good explaination ,ensuring everything will be okay .All the explaination are all clear, leaving us with less worries. From ambulance, kids emergency, registering admit to ward, discharge procedure to pharmacy, everything goes smoothly and well. Every 4 hours there's always someone who will look out in the ward , if we need anything they will be there. NUH have been a great hospital ,good experience. Highly recommended. Overall, kuddos to the nurses and doctor here. This time we are in Ward 47. Thank you so much for ensuring everything is good, it is much appreciated after all the worries we had faced. </t>
  </si>
  <si>
    <t>I'm disappointed with the level of professionalism I recently experienced in the A&amp;E department. The communication from the team was minimal and unclear. I also found some staff members to be rather unfriendly, which added to the stress of the situation. I hope the hospital addresses these issues to improve patient experience. A more compassionate and communicative approach would greatly benefit everyone.</t>
  </si>
  <si>
    <t>I had to pay 200 to see a doctor that gave me the wrong antibiotic and told me I wasn't sick and could have diarrhea my entire life. Furthermore, he didn't want to give all the papers I needed to get reimbursed from my insurance and I had to wait hours to finally get them. Go to Kuala Lumpur they have much better service</t>
  </si>
  <si>
    <t>I am deeply grateful for the exceptional care my baby, wife, and I received at NUH Ward 48 during my wifes six-day stay. Every member of the team, from doctors and nurses to the cleaning staff, was consistently kind, professional, and attentive throughout our time there. I would especially like to commend Nurse Nur Safwanah for her outstanding dedication and patience. No matter what we needed, she was always there with thorough, thoughtful assistance. Her expertise in caring for both mother and baby was evident, and she treated every patient with the same warmth and professionalism. Nurse Safwanahs compassionate care made a world of difference during my wifes recovery, and Im truly thankful for everything she did for us. On our last day, we were fortunate to meet two other nursing angels from the same ward: Nurse Chen Szu-Ting and Nurse Imay. Nurse Szu-Ting patiently guided us through techniques to calm our baby and demonstrated the proper way to handle and care for him. Nurse Imay, with equal warmth and diligence, answered all our questions and helped ease our fears as newly-minted parents. To the entire Ward 48 team, thank you from the bottom of our hearts for the care, comfort, and reassurance you gave us during this important chapter of our lives.</t>
  </si>
  <si>
    <t>Unless you are dying - they wont care. Spent 5+ hours in the E&amp;A with a broken/sprained ankle (ah we dont even know still, what it is) and was denied a CT and MRI. Demanded to talk to the senior doctor a few times - no response. In 5+ hours she didnt find 5 min to talk to me. But they were so ready to put a cast on my leg. Doesnt matter, might help, right? I didnt expect such a level of medicine in Singapore. Not impressed. Disappointed. Two stars - because one of stuff people, who constantly called me sister, was actually nice and tried to help.</t>
  </si>
  <si>
    <t>Doctors suck in general, they cancelled my surgery last minute because they "thought" they found another reason why i fell sick about 2 hours before my surgery and "didnt have time to tell me" and when i recovered WITHOUT taking the surgery they told me i could be discharged. On the day of my discharge,right after they took out the iv plug, the doctors suddenly came in and was like "hey, you have bacteria in your blood so like we can let you go yet" i was pissed off so badly because they took my blood almost everyday and only said it on the day i was going to be discharged. They didnt even know waht type of bacteria it was and couldn't answer any of our questions they just kept saying "oh there's bacteria in your blood" and "we need to take more blood and reinsert the iv plug" like ok i heard you for the first time?? In the end when i was discharged, the doctors told me that actually my blood was contaminated so i didn't actually have bacteria in my blood. Honestly the worst doctors i have met. They even had a poster about being the best hospital in 2025 best hospital my ass. My advice is to go somewhere else dont ever come here no matter how far the other hospitals are</t>
  </si>
  <si>
    <t>I am incredibly grateful for the exceptional care Dr. Gabriel Liu Ka Po provided during my sons scoliosis surgery in January 2025 at NUH. From the moment we met him, his kindness, professionalism, and dedication to his patients were evident. Dr. Liu is not only highly skilled but also incredibly thorough in explaining every step of the process, ensuring that we understood the diagnosis and the planned course of action. What stood out most was how he always took the time to answer all our questions and made us feel at ease, despite the anxiety surrounding such a major surgery. His compassionate approach and deep knowledge instilled a sense of trust that was invaluable during this time. Thanks to his expertise and meticulous care, my son is now on the road to a full recovery. We are forever grateful for the positive impact hes had on our lives, and we wholeheartedly recommend him to anyone facing similar health challenges. Dr. Liu, I pray that you are always blessed with health, wealth, and happiness. Thank you once again for everything. Warmest Regards, GH &amp; Mom</t>
  </si>
  <si>
    <t>brought my mum for an eye consultation and was quite disappointed with the overall experience. The waiting time was extremely long. We had to wait to see the doctor, then were sent for tests, and had to queue again to see him. This process happened multiple times, which resulted in a lot of unnecessary waiting.
It felt very inefficient and was especially tiring fir patients. the workflow needs serious improvement. A better appointment system and clearer coordination would help save patients time.</t>
  </si>
  <si>
    <t>My mom was admitted to the emergency department and while the doctors inside the ward were professional and helpful, the staff outside (registration, information counter, and security) were extremely disappointing. No one informed me that I needed a visitor wristband when I entered with my mom. When I briefly stepped outside and tried to come back in, security stopped me and started shouting that I needed a wristband. When I explained no one had given me one, she just told me to figure it out myself instead of helping. I then went to the information counter to ask for assistance and was met with attitude. I also asked for a face mask to be respectful of the hospital environment and was told visitors have to buy one. When I questioned this, the staff member raised his voice and dismissed me before I even finished speaking. For a hospital, the lack of basic guidance and professionalism from frontline staff is very disappointing. They are the first point of contact and should be setting a good first impression for patients. Visitors accompanying patients should be treated with basic respect and given clear instructions. And what kinds of hospital makes people buy face masks? Is the money theyre making off patients not enough? Every other hospital I go to regardless if Im not a patient they give a face mask. TTS is cheap!</t>
  </si>
  <si>
    <t>Absolutely appalling experience at Tan Tock Seng Hospital A&amp;E.
We were told the next of kin had to bring the patients medication from home. Isnt the hospital supposed to provide the necessary medication? What exactly is the purpose of HealthHub by MOH and all the talk about integrated healthcare systems if the hospital still asks families to run back home to collect medicine?
Cant the doctors and staff see the patients medical history, prescriptions, and conditions in the system? Isnt that what an integrated national healthcare record is supposed to do?
On top of that, the A&amp;E doctors were nowhere to be seen when it came to speaking with the next of kin about the patients condition. We were literally waiting just outside A&amp;E, yet no one came out to explain anything. Are the doctors too shy to face the family? Or is basic communication with worried family members no longer part of patient care?
Very disappointing experience. The lack of coordination, transparency, and communication is shocking for a major hospital like this. Totally speechless.</t>
  </si>
  <si>
    <t>I was/am staying at High Dependancy, now 11B. Doctors and nurses are attentive to my needs. Cleaning staff ensure place is clean and sanitised daily. I am grateful for all of them because they give me the dignity and steadfastness to soldier on during this journey. TTSH is also a place that provides rest areas for patients caregivers by providing spaces to rest. I hope TTSH will continue to be a premium hospital for healing. Thank you so much for your dedication in helping patients to heal from their illnesses.</t>
  </si>
  <si>
    <t>My godmother had a procedure done at Tan Tock Seng's Day Surgery Centre (Bed 40) on Thursday 4 Dec 10.30am. I am truly impressed by the level of care and professionalism we received. From the moment I arrived with my godmother, the staff made us feel well-supported and at ease. The nurses: NANCY ALMAZORA MANABAT &amp; RACHEL KOH were patient, attentive, gentle and reassuring, taking the time to explain every step clearly. Thank you so very much, NANCY &amp; RACHEL, for making a huge impact in patients' experience while in your care. Your excellent service made a potentially stressful day feel calm and manageable. We deeply appreciate you both! The doctors were equally outstandingknowledgeable and genuinely caring. Despite being a busy government facility, everything was well-organised, and the team worked seamlessly to ensure a smooth and comfortable experience. The environment was clean, efficient, and far exceeded my expectations. Im very grateful to the entire day surgery team for their dedication and compassion.</t>
  </si>
  <si>
    <t>Staff are nice, polite and helpful. Parking is easy to find. The queue is not bad and can use phone to register and get the queue number its very convenient and efficient. The doctor are diligent and caring about your health. Im happy that Ive chosen TTSH rather than CGH.</t>
  </si>
  <si>
    <t>Our experience here was absolutely horrid. Was told that we can pick up the patient from day surgery around 8-10am the next day but the call only came at 12pm. When we arrived, they told us that he cannot be discharged?????? Then why did you call us? 3 of us came down, they said that theres a limit of 2 visitors but we arent visitors are we? Were here to pick him up and go. So nurse told one of us to go collect medicine first at L2 pharmacy. At the pharmacy, registration told us that the doctor ordered duplicates - we were confused, what were we supposed to do with that information? Sat down and waited for more than 1 hour. The whole pharmacy cleared out already except for us. The counter staff kept looking over at us but not a single one asked for our queue number. Until I finally went to ask them and turns out they were waiting to ask the doctor WHY there was a duplicate. The doctor had them on hold for an hour and they didnt tell us anything. This is so perplexing. I get that its protocol or wtv to confirm again but the lack of communication is crazy. People got their medications and were in and out of the place.</t>
  </si>
  <si>
    <t xml:space="preserve">My mom was admitted to ward 5C, bed 79, due to a fainting spell and resulted in a fall. I was there for 2 days to accompany her. During my time there, I noticed this senior nurse Mdm Lilian wong, imparting and guiding this trainee nurse beside my moms bed. She was patient and kind. Then she came to my mom and shared a lot of preventive knowledge to her. Mdm Lilian wong is a very caring, kind and patient lady. You can tell shes really passionate about her work and truly cares for all her patients - as she will remind them to eat slowly, walk cautiously and etc. Whenever shes around the ward, solemnity dies from the room, bringing warmth &amp; positivity around her patients. </t>
  </si>
  <si>
    <t>I was admitted to TTSH Day Surgery Centre for a procedure on 23 September 2025. From admission to discharge, I was deeply touched by the professionalism, care, and compassion shown by every staff member I encountered. What I expected to be a stressful experience was transformed into a reassuring and comforting one. The teams gentle words, clear explanations, and genuine concern helped ease my anxieties. I truly felt cared for not just as a patient, but as a person. Over my two-night stay, I also witnessed outstanding teamwork. Each individual brought skill, kindness, and dedication, which gave me complete confidence that I was in the best hands possible. I would like to specially commend Dr Xi Naomi Lee and Dr Shelat Vishalkumar for their dedication and empathy. They not only ensured the success of my procedure but also provided exceptional personal care throughout. My heartfelt thanks also go to Nurse FuYu, Nurse Siti Suhailah, Nurse Sinduja Rajendran, and Nurse Xue Dan, whose attentiveness and compassion were deeply reassuring. They carefully monitored my irregular blood pressure, managed my wound and dressing, and constantly ensured my comfort and well-being. Please extend my sincere appreciation to the entire TTSH Day Surgery Centre team for their outstanding service. I am truly grateful for their professionalism, teamwork, and humanity.</t>
  </si>
  <si>
    <t xml:space="preserve">Had an ankle ligament and cartilage reconstruction surgery done by Dr Chua Min Jia and stayed at TTSH lvl 3 day surgery observation ward bed 68 for 1 night. Thank you to nurse Siew Tian and mostly the chinese speaking nurses for their patience and care (felt so bad to keep calling them for help when I needed to go to the toilet). Thank you to Dr Gloria Cheng Hui Min (most caring, patient and best doctor ever in a public hospital) &amp; all the team from TTSH Orthopaedics department for being so friendly and kind too. Although TTSH has a reputation of being slow, inefficient etc but there are a select few doctors and nurses who really show their professionalism, care and patience. The TTSH day surgery observation ward at lvl 3 aircon is rather cold, so do bring a jacket </t>
  </si>
  <si>
    <t>While the nurse and doctor were incredibly patient and explained everything clearly, the nurse in the blood test room was quite insensitive. After multiple unsuccessful attempts to draw my blood, a younger nurse sought help from a more senior colleague. I understand my weight might have contributed to the repeated failures, but I felt that the senior nurses comment about my weight and figure, made right in front of me, was rude and unnecessary... nothing wrong to guide the younger ones but hopefully with more respect and sensitiveness towards the patient especially when we are all not feeling well in our ways</t>
  </si>
  <si>
    <t>Was at TTSH emergency on Wed. morning as I felt uneasy and anxious over my recent months weight loss issue and decided to consult the doctor to see if there is any way to find out the cause. Waited less than an hour, did ECG and was attended by a kind, caring and patient doctor, Dr Lwin. He listened to and addressed my concerns patiently and recommended the blood tests and x-ray that would reveal the current state of my health. I did ECG, chest x-ray, thyroid and liver blood tests as I have fatty liver. It all turned out well and normal. My trip to the emergency is very worthwhile as it got rid of my anxiety. And the best part is, I met a doctor with positive disposition who spoke to me with kind and encouraging words that calmed my anxiety and made my day a lot better. Thank you Dr Lwin, you are an exceptional doctor and I applaud TTSH for having such a good doctor.</t>
  </si>
  <si>
    <t>Appreciation for Dr. Teo Hui-En Natalie (Department of Geriatric Medicine) I would like to express my heartfelt appreciation to Dr. Teo Hui-En Natalie from the Department of Geriatric Medicine for her exceptional care towards my grandmother, Mdm Cherng, who is a dementia patient. Dr. Teo is a very caring and compassionate doctor who shows great understanding and patience when caring for elderly patients. She takes the time to listen, explain, and provide reassurance  not only to the patient but also to the family. Her attentiveness, professionalism, and gentle approach make a big difference in my grandmothers care and comfort. Doctors like Dr. Teo are truly rare gems, and she is undoubtedly an asset to the hospital. Our family is deeply grateful for her dedication, kindness, and genuine concern for her patients well-being.</t>
  </si>
  <si>
    <t>Special mention to Diana Michael who was in charged of ward 12B, very efficient, careful, ，concern, responsible staff. She give patients feel comfy. She understands patients conditions well. Therefore her reply to patients with no hesitation. Can see her sincerity and she use her heart to work. She even explained clearly to our questions. Thumbs up to her!!!</t>
  </si>
  <si>
    <t>I want to share my frustration with my recent visit to TTSH pharmacy. The whole process was just too much. First, I had to scan my ID to get a number to register, and after waiting for an hour, they gave me another number to wait for my medicine. Can you believe it? Another 1 to 2 hours of waiting! I don't get why they added this extra step. Last time, after scanning my ID, I would get a number to collect my medicine. This additional steps of collecting medicine just makes things take way longer, longer than seeing a doctor! It doesnt make sense. What made it worse is seeing so many counters just sitting there empty while lots of people, especially elderly waiting. They even have a robot giving out medicine, but it didn't seem to help at all. It does not align with their goal to increase efficiency. I know TTSH might want to create jobs, but this is not the way. This experience was really disappointing, and I hope TTSH can resolve this issue. I have been to SGH but they are way faster. This is really bad and a disgrace for TTSH.</t>
  </si>
  <si>
    <t>I am extremely disappointed with the poor management and long waiting hours at Tan Tock Seng Hospitals A&amp;E. The delay in getting a proper diagnosis and treatment was unacceptable as they had an oversight. She had to wait nearly 24 hours before being referred to the right specialist. The overall coordination and efficiency need serious improvementwaiting for a bed and necessary procedures took far too long, causing unnecessary discomfort and distress. I would give 0 stars if there was an option. If any emergency please avoid this hospital at all costs.</t>
  </si>
  <si>
    <t>I had a rough experience last Saturday and want to share some feedback. I got injured by accident, and the wound wouldnt stop bleeding. I went to a private hospital, spent the whole morning there, paid a lot, but they didnt do anything for me-just transferred me to a specialist with an estimated surgery cost of thirty-eight thousand dollars. Thankfully, I went to Tan Tock Seng Hospital, where the emergency team quickly arranged my surgery and completed it the same day. Im so grateful for the amazing staff and everyone who helped me that day!</t>
  </si>
  <si>
    <t>The majority of the reviews here are unfortunately accurate. The service at this hospital is atrocious. The staff often take no responsibility for their inability to perform their work properly. An example of this is how they had incorrectly applied a bandage, took an x tray. I understand this is a teaching institution, however, the supervisors and management have to take the onus of ensuring the subordinate and trainees are indeed performing their job properly. Furthermore, the wait time for a scheduled appointment is more than 90 minutes past the allocated time, which makes me think how inefficient the staff are at being time conscious. Management needs to have better controls to ensure the SOPs are met. These make me wonder how this hospital is promoting its recent awards. Perhaps just a PR stunt to take away from the actual negative experience from the patient stakeholders. Do not recommend this hospital at all. Please do better.</t>
  </si>
  <si>
    <t>My experience with Changi General Hospital has generally been pleasant across the Emergency Department, specialist clinics, and other wards. However, Ward 57 in the Integrated Building (IB) has unfortunately been a very different experience. Service in this ward has been slow and coordination appears to be poor. There were several occasions where instructions or arrangements made by specialists were not carried out by ward nurses, and updates to patients or family members were often lacking. This created unnecessary stress for family members who are trying to ensure their loved ones receive proper care.From my observation, some of the nurses in this ward seemed impatient and disengaged while attending to patients and communicating with family members. Compassion and clear communication are extremely important in a hospital setting, especially for families already going through a difficult time.I also overheard another patients family member expressing similar concerns about the lack of patience and empathy shown by some staff. It suggests that this may not be an isolated experience.I truly hope the hospital management will look into the service standards and coordination within Ward 57, as my overall experience with CGH outside of this ward has been much better. Patients and families deserve consistent care, professionalism, and clear communication across all wards.</t>
  </si>
  <si>
    <t>I had been a patient of CGH since I was 20. Now after almost 30 years I must say that CGH has improved tremendously. Their service is just beyond expectation where you can see their passion in prioritising patients health and holistic wellbeing. CGH has truly make a big difference and by far the best in their service. I am proud to be an east sider knowing that we have a reliable healthcare provider for our community. Well done CGH!! Everyone of you plays a part to create this strong Team, Kudos!!!</t>
  </si>
  <si>
    <t xml:space="preserve">Visited Changi General Hospital on 9th Feb2026 at 4.30pm - Hearing Aid (2B EHN) I am extremely grateful to the audiologist, Dr Savitha Kamath at the Changi General Hospital who went above and beyond to help me with my damaged hearing aid. Despite a busy schedule and past working hours, she ensured I received a new set and explained its use thoroughly. Her kindness and dedication are a testament to the excellent care at CGH.Highly recommend! </t>
  </si>
  <si>
    <t xml:space="preserve">The overall experience has been excellent. Met with very helpful &amp; friendly admin staff, porter, nurses when I brought my auntie to emergency department on 30 Sept 2025 late afternoon. Meticulous care from Dr Aylin has made my aunt felt at ease. The nurses and admission staff were excellent too. If not for the staff nurse and nurses there who repeated ignore my call for help (they did not even bother to ask what is it that I want) at Transit Place, I would have rated CGH 5 stars. Im not expecting immediate help. But they shld at least listen to what help I required b4 telling me to wait. If its life &amp; death, my aunt would have died. Shame on the nurses in Transit Place </t>
  </si>
  <si>
    <t>I wish to commend two staff members (one Indian lady and one Chinese auntie) on morning duty around 9.30am at CGH outpatient clinic on 20 February 2026.While accompanying my father for his appointment, my 4-year-old daughter unexpectedly vomited as she has been unwell with fever. The staff promptly showed concern and compassion, and kindly expedited my fathers consultation.Their empathy and professionalism during a stressful moment were deeply appreciated. Please convey my sincere thanks to them.</t>
  </si>
  <si>
    <t>worst staff at hospital attitude was terrible for no good reason. I was told by another nice staff to sit and wait at an area outside of the Emergency department since my mum (the patient) already has my dad waiting for her inside (only 1 accompanying guest is allowed). This staff not only used a threatening tone to question/talk down at me trying to shoo me away, he even went to disturb a lady who was waiting at the same area as I was and came back to tell me her reason, telling me, she can sit here because her patient is in admission. You?! Is your patient going admission??! Are you the patient? I can call security you know. (At this point, I did not have a clear answer as CGH is shifting my mum around everywhere for the past few hours but yes I soon found out she is going to be needing surgery and warding for at least 2 weeks). Lol, how can someone so unprofessional and rude work at a place where empathy and compassion is needed the most??!?! I think he saw my tears and wanted to let me cry everything out is it :-) what a dude. CGH do something about it man. Dont just hire any random cold hearted staff. If not for the need for urgent surgery and the long waiting hours in hospital in general, I would have transferred my mum out immediately. Update: 7 out of 10 staff are rude in CGH. I noticed most of these are outsourced staff. The management should really filter the right staff to be stationed at hospitals. This is a place where people find help after unfortunate things happen to themselves or their loved ones, so we need compassionate workers even more than ever. And btw, Im not even mentioning about how my mum is still not getting scheduled for a surgery after 4 days since she was brought in by an ambulance.A lady named Loh Yuen Hoe from Certis, stationed at the ward reception, is very helpful lovely and helpful though! I wish her great health and all the best  thanks auntie! Youre the best staff out of everyone!</t>
  </si>
  <si>
    <t>This is the second time Ive experienced this issue at CGH. I was in pain and arrived at around 10 pm, but my number (3324) was still not called even by 1 am. The display board was already showing number 3360, and several people who came much later than me were attended to first.I approached the staff twice to ask what was happening, but they simply told me to wait for my number to be called. This is very disappointing and reflects poorly on the hospitals service standards. In my experience, TTSH provides much better service and patient handling compared to CGH.</t>
  </si>
  <si>
    <t>Great experience at A&amp;E! I came to A&amp;E on 4th Jan night, for my injured ankle after a fall i had earlier that day. I was in pain and very uncomfortable as my ankle was very swollen. Instead of facing long queues and a crowded A&amp;E as i had encountered in the past, I found my recent experience very pleasant! The whole process was smooth and the nurses at the A&amp;E reception were friendly and helpful. A malay aunty came to help me adjust the wheelchair such that it doesnt hurt as much. I was at orthopedics clinic minutes after, and there was an info guide given to us on the process which was really helpful. The staff on level 1 and 2 were knowledgeable and warm, guiding us well and giving clear instructions throughout. thanks CGH i am now recovering well thanks to the smooth process and efficient staff!</t>
  </si>
  <si>
    <t>I am sharing this review to express serious concerns about my elderly mothers recent care under the Geriatric Department and the Emergency Department at Changi General Hospital, in the hope that it leads to improvements for other patients and caregivers. My mother is an elderly patient with diabetes and dementia. During a geriatric consultation, she was started on a new diabetic medication. While a general blood sugar target was mentioned, there was insufficient explanation about possible side effects, warning signs to watch for, or the increased risks such medication can pose to frail elderly patientsparticularly those with dementia who cannot reliably communicate symptoms.Shortly after starting the medication, my mother developed persistent symptoms including weakness, trembling, breathlessness, and severe loss of strength. She was brought to the Emergency Department on two separate occasions. On both visits, cardiac and respiratory causes were ruled out, and her symptoms were largely attributed to anxiety related to dementia. She was discharged without meaningful consideration of whether the recently started medication could be contributing to her condition.The symptoms continued after discharge. Only through our own monitoring did we later discover that her blood sugar had dropped to a dangerously low level, strongly suggesting that her symptoms were medication-related. This was deeply distressing, as earlier recognition could have prevented prolonged suffering and repeated emergency visits. What is particularly concerning is the lack of linkage between recent medication changes and presenting symptoms, especially in a vulnerable geriatric patient. Medication reconciliation and awareness of atypical presentations in the elderly are critical, yet this appeared to be missed. Follow-up consultation was also challenging. When concerns were raised about medication suitability and worsening dementia symptoms, responses felt dismissive and lacked clear guidance. As a caregiver, being told to review medications independentlywithout structured explanations or professional recommendationswas unrealistic and unsafe. I acknowledge the workload faced by healthcare professionals, but elderly patients with cognitive impairment depend heavily on clear communication, coordinated care, and proactive clinical reasoning. My experience fell short of what I expected from a tertiary hospital. I hope CGH will:  Improve medication counselling for elderly patients and caregivers Strengthen medication reconciliation during Emergency Department assessments Enhance cross-department communication for geriatric care I share this feedback in good faith, with the sincere hope that it contributes to better care and safer outcomes for other elderly patients and their families.</t>
  </si>
  <si>
    <t xml:space="preserve">A hospital who does not care about the patients. I had skull fracture and was just released 1 month ago on hospital leave. I asked for follow up, only for the admin to 1. Not even let me explain the situation 2. Talk over patient all the time and not listening 3. Close the case because I have been discharged 4. I cannot even book appointment with the doctor from the private medical side Well done Cgh. I think you should stop being in this industry. I think understaff is not a reason to 1. Disrespect customer 2. Putting little value on someones life I hope that the lady who answered me in the call today a wonderful day and remember karma works really fast so hang tight </t>
  </si>
  <si>
    <t>I relate this review based on an experience of someone known to me being warded for almost two and a half months. Slow triage and admission that too for a patent with chronic age related conditions. It took two days to move from a&amp;e to ward. Later when listed for surgery, another whole day nil by mouth as they had no telling when the surgery would happen. Lack of updates - often times calling the hospital, being present and simple patent requests do not receive any concrete responses. The more critical, less updates. Please understand that family does not wish to harass anyone for not wanting to add on to a stressful situation. However if and when that happens, staff become defensive and have a classic line you can speak to us respectfully and further ignore the patient completely. There are a selective few nursing staff at the high dependents unit and (at ward 14) who were on the contrary dedicated and supportive not just in care but emotionally to the family too. ICU was the worst of all where a nurse claimed forgetting to update and made it next to impossiblet for family to be present, claiming that there was no space to place a handbag of a visiting next of kin. Hygiene and facilities maintenance -the stellar perception of public health service are certainly tarnished by this hospitals standards. Public toilets are not clean and other hospital facilities do not meet healthcare standards. Its scary to see scars and stains on patient linen. Visitor policy - the staff at the visitors registration are the worst of all pretentious, insensitive, not empathetic at all and their way of denying requests is mean and hurtful. There is evidently selective free pass thats not for the genuine. In an emergency, they also selectively pretend not to understand the situation and deny entry.</t>
  </si>
  <si>
    <t>If you ever wanted to experience what eternity feels like, CGH is the place to go. Their processes are so slow it feels like time politely stops to let them catch up. The default explanation for everything is manpower crunch. Why fix workflows when you can just keep using that line for the next decade? Doctors here move like programmed robots, emotionless and expressionless, keeping the same slow pace no matter how long the queue gets. The waiting area can be full, yet they still go about things one by one at the same speed. It is almost impressive how they can stay so calm while everyone else is losing patience. Credit where it is due, the nurses are the real MVPs. They are the only ones showing empathy and holding the system together. The doctors, on the other hand, are a disappointment. Many seem inexperienced and unsure, often giving vague answers instead of clear explanations. If that counts as confidence, then guessing might as well be part of the job. So yes, five stars for the nurses for their patience and professionalism, and minus four stars for the doctors for their inexperience and lack of urgency. Do the math, and that leaves a generous one star overall.</t>
  </si>
  <si>
    <t>At some point, it makes no difference whether its incompetence or malice. Long story short - my attending doctor at the ER changed shift, so my queue number went into some black hole in the system. Multiple nurses told me to keep waiting with a black face. I ended up spending more than 5 hours at the waiting area before I decided to tell them I was gonna go home. Then they suddenly managed to find a doctor to attend to me - about 30 minutes later. In the end, I spent almost 10 hours at the hospital. SGH, which is also part of the SingHealth network, is so much better. Fair comparison, right?</t>
  </si>
  <si>
    <t>Worst hospital in my opinion. I went to emergency as i had migraines and intense pain after registering. I went to level 2 and waited. I went in it was packed after 3 hours of waiting everyone slowly seen their doctor and left. I went to clarify on when is my queue number and they throw me off and said other people have been waiting longer you just got to wait i instantly left the hospital. Poor service. Poor staff and lastly lacked of doctors which actually can attend to patients. I would never come here again</t>
  </si>
  <si>
    <t xml:space="preserve">Simply hopeless system, firstly all visitors must register with IC, phone number and then facial registration. Secondly, every patient strictly restricted to 2 visitors at one time, hence if more than 2 visitors, you'll not be able to enter. You'll not know there're already 1 or 2 upstairs, then realised you're not allowed to enter as 1 visitor already there. CGH has turned into a prison apparently as visitors are strictly kept to 2, and seems like security is so tight as if all patients warded are some very important personnel nowadays. Please look into improving the system, not going backwards with all these useless hopeless redundant upgrades!!! </t>
  </si>
  <si>
    <t>I visited the A&amp;E at Changi General Hospital around 10:30 PM with an ear injury, as my ear was bleeding and I couldnt hear. Despite explaining this to the triage nurse, I was repeatedly asked the same questions for documentation purposes, even though the urgency of my condition was clear. After waiting for hours, with no treatment provided, my ear continued to bleed. By 2:00 AM, no one had attended to me, and I left feeling incredibly frustrated and disappointed. The long wait times, lack of attention to my condition, and unnecessary questioning during a time of distress made the experience truly miserable, even though I was clearly categorized as a low priority. I hope improvements are made to ensure patients receive timely care, no matter their priority.</t>
  </si>
  <si>
    <t>They are a bunch of amateurs. They missed an important indicator in the blood test, so now I have to go back. To make it worse, they scheduled the doctors appointment before the results were even ready, which means I am forced to wait another three months just to book yet another appointment.</t>
  </si>
  <si>
    <t>Had a pretty bad experience with A&amp;E of CGH in mid July 2025. Personally, I feel that the medical team here tends to jump to conclusion on diagnosis before running more conclusive tests. I had visited the hospital with allergy symptoms which seemed to occur frequently, post COVID. That night in wee hours, it was bad. At the registration counter, the oxygen measuring machine was malfunctioned and the nurse was struggling with it. Took her awhile before she decided to seek help from fellow colleague. I wish she could have done it earlier. At Triage, the nurse was asking me tons of questions while measuring blood pressure at the same time. Hence the reading was expectedly high. She got a shock and was ready to record it when I had to tell her to retake since it was most likely inaccurate. Second retake, its normal.. I cannot imagine what Id have to go through if she had decided to record the initial reading..I was seen by a doc, who acknowledged my condition but instead of calling his supervisor up via phone for treatment confirmation, he had left me waiting alone for quite awhile with the on-going allergy reaction. Took awhile before giving me the medication jab to finally ease my allergy symptoms. Ive also informed him my suspicions of an on-going inflammation or infection (due to constant hecking cough with greenish jelly-like phlegm) and requested for him to put me through for blood tests. He rejected my request twice, eventhough am willing to pay for it. He had claimed that these tests are unnecessary and he does not know what blood tests to put me through either! CGH was adamant that my condition is just due to the complication arising from post covid and theres nothing much they could do. I was fast dismissed with a referral letter to see an immunologist at SGH but, for an external ear skin infection (stated inside the letter), a hefty bill and minimal medication that only treats the allergy (if the itch occurs again and these yellow flu pills are not as effective vs Telfast, which I can get from Watson or Guardian pharmacies) instead of investigating and treating the underlying root cause of it. I had came to CGH with hives and swollen lips, and hope for a proper treatment to end my ordeal. But the focus ends up being on my external ears skin infection instead Even worse, they mentioned to assist me in booking the SGH appt and will update me soon. I had waited for a week and still no news. So I called up CGH which they confirmed they did email to SGH but apparently no response from SGH. They cant even update me on this.. So, I called SGH to check and the respective department reverted that theyve not received anything from CGH. So I had to personally email the referral letter to SGH and book my own appointment which was delayed due to the fact that nobody from CGH bothers to update me.. so if I did not call up myself, I probably have to wait and suffer for years, without realizing SGH did not even know about my caseI was so disappointed and being still unwell, had decided to visit Mount Alvernia Hospital to seek for a second opinion. The doctor had ordered blood tests due to possible sign of on-going infection/inflammation. So true enough, blood tests are necessary and the doctor was confident to decide which blood tests were appropriate. From thereon, the right treatment and medication were prescribed and subsequent follow-up by SGH, sees me finally getting treated and recovering well.
I can only remind myself, not to visit CGH nor recommend it to others unless its a matter of life and death, and its the only hospital nearby.This is purely my own experience to share. My own friend had an even more bizarre experience here. Due to the malfunctioned ECG machine, she was told that she could have possible cardiac arrest and should admit herself into the hospital and thank goodness a senior doctor happened to discover the faulty machine and that save her from truly getting a real heart attack from such nonsense! LOL!</t>
  </si>
  <si>
    <t>Had a very bad encounter at day surgery PACU . I was fetching my sister from hospital after her surgery , at 10 am the staff called me and said can fetch my sister within 45 mins so I rushed to the hospital and reach hospital they told me need to wait for 5 hr since need to monitor . I myself also a health care worker working in different institutions so I also doubted that it is impossible to fetch within 45 mins but I rushed down since need to follow their advice. Reach hospital and I feedback to the staff that I was rushed down here to fetch my sister. So the The same particular staff who called my phone and scolded me  I never give that kind of information to you  she said twice in a scolding tone I replied her it doesnt matter i am in hospital already , but she keep telling me the same thing I never told you like that. No offense but now I know why they say Cgh is the worst.</t>
  </si>
  <si>
    <t>A trip to the hospital is never pleasant, however many small things about CGH were disappointing. From the van style ambulance, multi stage 8 hour admission to sleeping on a chair, yep a chair and I was lucky, my chair was a big lounge style one, some are more like a padded board.14hours and every area you are required to be to attend to the endless queuing and questions is no-food or drink, not that anything was offered until Id been there for nearly 20 hours a box of congee. The final straw, after 6 doctors confirmed theres 'nothing wrong now' and Im here only for observation (aka sleep deprivation) my departure was deliberately delayed for hours even after a bulk prepayment of 3x the expected bill had been paid. Apparently only my doctor could approve my movements.. even though I never met the same doctor twice.Ive no idea why this play is so busy. Addendum;I failed to mention the wards had at least 30 empty beds whilst dozens seriously ill patients sat in chairs in the outside, including myself... I discovered this after demanding a shower (after 3 days in the same clothing, due to the overnight flight) and eventually being shown through.CGH failed to provide a discharge letter and invoice went on to delay the refund for over 2 weeks, demand further payment and delay the letter for a full month.That letter is more like a liability wavier and spiteful response than a statement of service and facts, which is the intent given they were aware it was required for insurance purposes.Lovely admin team as well.</t>
  </si>
  <si>
    <t>Hi, My dad has an appointment at the Short Stay Ward. While waiting for his turn to be called I can hear staff members talking and laughing so loudly at the nurses station. After 2 hours I asked the nurse if my dad can have a cup of coffee . One of the nurses say they will be calling my dad at 11am because he cant be called earlier as he needed to fast for this procedure. In the appointment letter there is no indication that my dad had to fast!!!! Why isnt this informed in the physical letter and the SMS???? I dont think this is right. Please look into this matter. I work in a Hospital sector too and I dont think this is the right behaviour.</t>
  </si>
  <si>
    <t>Mt Elizabeth is Great Again After the effort to renovate the hospital, this place seems to have given itself a new lease of life. It now has a beautiful lobby, business centre, and everything basically looks new again. The short stay I had here gave me a very good impression. Service from the nurses in the wards, to all other staff involved in my admission were polite, friendly and helpful. The magic is always in the people. The room was nicely renovated and had almost all the amenities one can think of. The food served was top notch and sufficient. The checkout service was fast and efficient. I didnt even have to go to the business office to settle the bill there in person. And they make transport arrangements to send you to your home or hotel. Overall a very pleasant experience.</t>
  </si>
  <si>
    <t>I would like to express my sincere appreciation to the Mount Elizabeth team that had took care of me; from my delivery till post-delivery stay at Ward 4B. The doctors and nurses demonstrated exceptional professionalism, compassion, and patience, always taking the time to explain and provide reassurance. The butler service staff were consistently polite, attentive, and prompt in assisting with food orders and delivery, ensuring comfort at all times. The cleaning staff also did an excellent job, maintaining a clean and pleasant environment with great care and courtesy. Overall, the teams dedication, prompt assistance, and high standard of service made a meaningful difference and reflect the hospitals commitment to excellence. I would like to extend my sincere commendation to Ms Thirin, Lactation Consultant, for her exceptional patience and dedication. She took the time to carefully teach my husband and me the essential toddler care skills and knowledge, ensuring we felt confident and well-prepared. Her clear guidance, calm approach, and willingness to answer our questions made the learning experience reassuring and valuable. We are truly grateful for her support and professionalism.</t>
  </si>
  <si>
    <t>Service/ doctors/ room are good. But management should close ward near to any drilling. Can feel the vibration in the room. The only solution was ear plugs and I told you when admission. Very inconsiderate hospital as they are only concern about $$$$</t>
  </si>
  <si>
    <t>I 1st time visit this hospital and provided a terrible service. The staff was outside the car park and she can see Im carrying a newborn baby, but didnt help open the door. Then, parkway and mount Elizabeth hospital provided the clinic location was not tally. It waste our walking time!! Inside the clinic the staff workflow is too slow. On the counter the nurse telling me take half an hour will be my baby turn. However, wait about 1 hour still yet my baby turn. The hospital inside look nice and the quality of work are pretty poor. Last and not list, SG govt wants increase population of local citizen but the hospital totally didnt prioritise baby patients.</t>
  </si>
  <si>
    <t>I am truly grateful for the lactation consultants, especially Thiri. She is very patient taking the time to show me, letting me practice, and offering gentle guidance throughout. What touched me most was how they went the extra mile to remember my babys details. I felt very supported, cared for, and happy with the service.</t>
  </si>
  <si>
    <t>I recently had the pleasure of staying at Mount Elizabeth Hospital in Orchard, and I must say, it was an exceptional experience. The service provided by the staff was outstandingthey were attentive, compassionate, and always ready to assist with a smile. One of the highlights of my stay was the food. It was absolutely delicious, with a variety of options that were both healthy and flavorful. The meals were well-prepared and thoughtfully presented, making my stay even more comfortable and enjoyable. I would highly recommend Mount Elizabeth Hospital to anyone in need of medical care. The combination of excellent service and delightful food makes it a top choice. If you ever have the chance to stay here, don't hesitate! Hope you get your chance soon!!!</t>
  </si>
  <si>
    <t>Despite the hospital undergoing renovation, and cause some dust and noise. But I would still like to say thank you to all the staffs . The nurses to the butler are professional and caring.. Especially to the Staff Nurse Jullianne Marie Parian from the ICU at Mount E, provided truly outstanding care for my mum. Jullianne was always attentive, patient, and made sure my mum was comfortable, even when things were busy. Her professionalism, compassion, and gentle nature reassured both my mum and our family every step of the way. Were deeply grateful for her dedication. Thank you, Jullianne! Hugs</t>
  </si>
  <si>
    <t>Did an overnight sleep study test for sleep apnoea, and commenced my pre-admission at 6pm. There werent many patients at that time so I was surprised when I had to wait 45 minutes to be attended to. During my pre-admission, I mentioned that I did not want to be warded immediately as I intended to head out for dinner before returning. It would have been helpful if the administrative staff informed me that dinner would be served. When I returned to the hospitals administration area after my dinner, I also enquired if the hospital provided a complimentary limo service upon discharge, but the administrative staff were unsure about it and told me that the service was only available to patients who just conceived. I later found out that the limo service is a complimentary service available to all patients discharged on weekdays. They ran out of single rooms so I was given an upgrade to the VIP room. The room itself was clean and spacious, and the nursing staff were friendly and professional. In general, my stay was pleasant and I had a good experience, which would have been made better if the administrative staff was better informed on the post-ward services. When unsure, they could have informed me to check with the nursing staff instead of offering inaccurate information.</t>
  </si>
  <si>
    <t>I deliver my 4 children in this hospital. Their nurses are fantastic and caring. The only system that needs to be updated is their payment and billing system to lessen the wait upon discharge. The cashier and admission/discharge customer service are great too. However the real 5 stars goes to my lactation consultant, Xing Li when delivered my 4th child. I breastfed my first 3 for one year plus each. You would think that I know everything until I met Xing Li. She is not only accurate and helpful, in fact she overdelivers her services by helping to clear plugged ducts/mastitis. Not just that, she taught me how to latch my baby by letting baby latch on herself instead of the traditional pushing the baby to the breast, causing her to clamp down and caused nipple tear. I really wish I had known her earlier. She serves the patients with her heart and soul and her top notched service and knowledge level is beyond any lactation consultant Ive ever met. If the management sees this, please commend her for me! She really is the best!</t>
  </si>
  <si>
    <t>My wife was recently admitted to Mount Elizabeth Hospital and we are truly grateful for the excellent care she received. She was seen by Dr Adrian Tan Keng Yew (Adrian Tan Neurology Practice Pte Ltd) and Dr Eugene Lim Ui Chong (Elim Rheumatic Centre), both of whom were very professional, attentive, and thorough in addressing her health issue  something she had been suffering from for more than a year. Their expertise and reassuring approach made a huge difference for us. The hospital stay was very comfortable, and every staff member we encountered provided outstanding service. From admission to discharge, the nurses and team were caring and responsive to all our needs. When it was time to leave, the staff went the extra mile to help carry our belongings and assist my wife in a wheelchair all the way to the lobby, where I could conveniently pick her up with the car. The meals provided during her stay were also excellent, with a good variety of choices that made her feel well taken care of. Overall, Mount Elizabeth Hospital exceeded our expectations in every way  from the doctors to the nurses and supporting staff. We sincerely thank everyone involved in my wifes care and would highly recommend this hospital to anyone seeking quality medical treatment.</t>
  </si>
  <si>
    <t>Sadly rushed to MT E , Orchard as I fractured my foot. When we arrived at A&amp;E both my cab driver uncle and I was puzzled wandering for moment if that was A&amp; E. Not a soul to guide one. He was kind, went running around to get me a wheelchair, which was not visible to public. Found one and helped me to. No hospital staff to assist as I figured they were attending to other important issues. My feed back, if you are short handed at least have the wheelchair easily available to patients.</t>
  </si>
  <si>
    <t>This hospital is like a loan shark. Only know how to chase for payment  and this is about a bill that has been settled last year, with email evidence from their customer service!</t>
  </si>
  <si>
    <t>Whilst their service is obviously top notch (with pricey tags too), but certainly worth every penny if you want tip top health service quality. Ive unfortunately had to be warded twice this year and Ive been upgraded to their Royal suite on both occasions. To be honest I didnt particularly feel comfortable given it was prob too big for a single person to stay in a 60m square room! Nurses are extremely dedicated and passionate and they truly care. Food was amazing too by the way! Prata and curry was not bad given its a hospital!! Even on the 2nd time where I could barely eat due to a tonsillectomy, I managed to force down some really tasty chicken consumee, sliced fish soup and longan jelly.</t>
  </si>
  <si>
    <t>Admission is slow and paper work is lengthy. Two bedded room is pretty small, the room can get very rowdy when theres too much visitors. No head phone provided for the TV, you cannot really watch with raised volume as it will disturbed your neighbouring bed. You can only watch it using subtitle. Plus point, locker and safe box provided in the room. Food wise, selection is wide and food is tasty. I wonder if it is because it is at Orchard road or theres really a lot of patients, but ground level is always crowded. Ground level feels more like a shopping mall than hospital. I was in the isolation room as I was admitted to other hospital before admitted here. If I were to compare, infection control seems to be have some gaps. Visitors were not asked to put on mask when entering. I was not asked to put on mask when leaving the room. The door was always left open. Services is consider average for the price I have paid for.</t>
  </si>
  <si>
    <t>I waited 2.5 hrs to be admitted for a scheduled procedure. Once admitted, the ward nurse asked questions that suggested that she didnt know what I was admitted for - asking, are you here for diagnostic scan or an operation? Public hospitals in Singapore has about same wait time for admission for planned operations, same throw of dice regarding nursing staff quality and is a fraction of the price.</t>
  </si>
  <si>
    <t>One of the worst hospital experiences, which is especially disappointing considering that Mount Elizabeth Orchard Hospital is a private, supposedly prestigious facility. I stayed there late May for surgery, but the experience turned into a nightmare. First, they placed me and other sick and recovering patients in rooms directly adjacent to construction work. The unbearable noise, drilling, was so loud that I could barely hear the nurses instructions. On top of it there was a strong chemical like odor in the entire ward. The issues didn't stop there. I received absolutely inadequate assistance after surgery, had an incorrectly done, painful IV insertion that was ignored until I repeatedly asked for help, and on top of it my medication schedule was mismanaged. Post-discharge, the experience worsened: my discharge documents listed the wrong information. My insurance was billed for costs I didnt incur, which the hospital eventually corrected - if I hadnt checked, it would probably have gone unnoticed. Apart from this, despite the hospital having my insurance details, they still harassed me for payment with calls and texts, including a payment link, for amounts that werent for me to pay, which they also later admitted. In general, it took multiple calls to get basic information and to sort out the confusion - when you are not well after surgery, trying to recover you really do not need all this. This experience left me questioning the hospitals compliance with basic safety standards and their sense of responsibility. I lodged a formal complaint, but apart from offering a fruit basket and a checkup on my hand swollen from the improperly inserted IV, the hospital showed little accountability for the consequences of their actions for which I suffer to this day. I strongly advise others to avoid this hospital. Looks like its a profit-driven, impersonal institution lacking basic compassion and organizational standards. My stay has left me with ongoing issues, and I wouldnt want anyone else to go through the same.</t>
  </si>
  <si>
    <t>Beautiful hospital. Personally witnessed service crew replacing air filters inside private clinics, so Im sure the rest of the hospital has them too. But the absence of a hospital-wide mask mandate is baffling. How is it that many restaurants in SG continue to have universal masking in place for their staffyes, even in 2025but not private hospitals such as Mount E - Orchard that charge hefty fees for their services? And when doctors do wear (ill-fitting) masks, they end up taking them off sometime into the consultation even when they are visibly/audibly unwell.</t>
  </si>
  <si>
    <t>Mount Elizabeth Hospital at Orchard has got to be one of the worst private hospitals in Singapore. As of the time of this review, the hospital is undergoing major renovation work. So if your loved ones require rest, this place is highly NOT recommended. Drilling sounds that goes through your head can go on for the entire day and the construction teams actually disregard any normal conventions stopping work to reduce noise at night. The removal of debris can be clearly heard from the ward throughout the night. The management should have already received a number of complaints, as there was a grunt going around setting up I quote sound-meters to measure the sound. That sounds like deluded management trying to measure and resolve the issue from miles away behind a cushy desk. Anyone with non-impaired hearing can hear the drilling and you need a meter!??? And oh, the lifts to the wards, omg. The only star I am giving for my review is dedicated to the nursing staff who helped out a lot with my moms stay. They were endlessly patient with her, helped to feed and clean her when we couldnt do it properly. I am really thankful for that.</t>
  </si>
  <si>
    <t>Visited the radiology clinic on 30/10/2024 together with my grandparents and was attended by senior radiographer hazwani. I want to express my gratitude for her thorough and clear explanation of the procedure. Her attention to detail not only eased my concerns but also helped me understand the location of my grandmothers metal implants better. Its evident she care deeply about her patients, and that makes all the difference. Thank you! I also want to extend my heartfelt thanks to Shirley and Sky from the information desk for their exceptional care and support during my grandparents visit. Your thoughtfulness in offering mobility aids and ensuring their comfort made a significant difference in their experience. Its clear that you both genuinely care about your patients, and I truly appreciate your kindness.</t>
  </si>
  <si>
    <t xml:space="preserve">I was a strong advocate of mount E orchard after the pleasant experience during my first delivery in 2021. However, experience earlier this year was subpar. Approx 50% increase in package price for maternity aside (i dont mind the price increase if experience was similar to the last time), the billing-related service and food quality did not justify the hefty price that Mt E charges. Wont be going back to this hospital anymore. </t>
  </si>
  <si>
    <t>This hospital has the worst service I ever encountered for a hospital in addition to charging exorbitant sum. Recently my mum went there for some procedures &amp; stayed two nights. There was practically no service from the hospital s medical staff on the first night as my mum stayed over because she had an early morning surgery and procedure . The ward was practically empty with one nurse at the nursing station and an occasional nurse appearing. It was practically like a ghost town late at night and early in the morning . There was practically no service from the nurses on the first night but my mum was charged with service fee and medical supplies which we did not use on that night. We were also charged for things that we did not use on the second day. This hospital has very few experienced nursing staff and they are also not well versed in the the hospital procedures. Majority of them seemed very lost , lacked initiative and did not communicate to each other and were not well versed with the hospital procedures. We had to do a lot of stuff ourselves like calling the doctors ourselves as the nurses could not tell us when the doctors are coming and could not be bother to call them . We even had to put my mums name and food and drinks instructions , etc ourselves . We had to dispense our own medicine that we brought from home as the nursing staff gave conflicting instructions at different times. They came to check our medicines twice but didnt do anything (seemed there was no communication between the pharmacy staff and the nursing staff). We ended up doing most of the nursing job ourselves . Luckily my mum had two excellent doctors that we had engaged on our own and the stay was short. We do not understand why we had to pay for services when there were not much and why we were charged for stuff we didnt use and why the total hospital charges were much more than the estimated maximum hospital charges given to us upon admission though my mums procedures were just normal ones and there was no complications . It is a real shame that a hospital that used to provide excellent nursing services have now deteriorated to this state. It was a bad nightmarish experience. On hindsight we should have admitted our mum to a public hospital as most of our public hospitals give excellent medical care despite facing shortage of medical staff. Our public hospitals clearly out shine this expensive premium hospital in many aspects.</t>
  </si>
  <si>
    <t>Worst hospital ever, very dangerous, no hygiene and basic rules of safety. I literally see a patient coming out the block left in the corridor with public visitors, still asleep. The whole hospital is under construction, you get lost, you have huge noise and hygiene issue. This place should be shut down during transformation and meet basic hospital requirements. Very dangerous and not recommended. They make you waiting, no basic management of meetings, you wait hours</t>
  </si>
  <si>
    <t>I was admitted to Mount Alvernia for a couple of nights due to a gastrointestinal virus, and Im truly grateful for the care I received from the nursing team at St Gabriel.
When youre feeling at your worst, small things matter a lot. The nurses were attentive, patient, and consistently kind. I felt well looked after throughout my stay.
I especially want to thank Nurse Epe. She cared for me with such natural warmth and attentiveness. she was present, calm, and genuinely caring. She checked in regularly, made sure I was comfortable, and responded quickly whenever I needed help. Her steady presence made a difficult time much easier to get through.
Thank you to the entire nursing team for the professionalism and compassion you show every day. It truly makes a difference.</t>
  </si>
  <si>
    <t>My wife and I recently welcomed our baby boy at Mount Alvernia, and we are extremely grateful for the amazing care we received. All the staff from the nurses to the doctors were incredibly professional, gentle, and attentive throughout my wifes delivery and recovery. They made the whole experience smooth and reassuring for our family.
I want to give a special praise and thanks to nurse Pumaren Bituin. She took exceptional care of our newborn son. She is very friendly, caring, and speaks to our baby so gently. When our baby suddenly choked on thick saliva, her quick response and calm actions helped clear the blockage immediately. We are truly thankful that she helped save our baby boy in that moment.
Thank you, Mount Alvernia, and especially Pumaren Bituin, for your kindness, dedication, and genuine care. Highly recommended for all new parents.</t>
  </si>
  <si>
    <t>Avoid this hospital at all cost, biggest mistake ever. First time here and its already a nightmare. Among all the private hospital Ive visited, this feels like govt hospital standards. The standards are appalling. Requested for a single room, none. Two-bedder, none. Four-bedder, none. And where do they put the patient? Right beside a blasting construction site at St Francis ward.
Asked if at least the bed could be changed away from the noise or other wards, answer was still no. Imagine paying private hospital prices only to be told nothing can be done. What kind of hospital management thinks this is acceptable? Leaving patients shivering from feeling sick and unable to sleep due to the construction workers right outside the window beside us screaming, shouting and drilling. All we were given a form and told to be understanding and wait till the construction workers end work.
The room booking team is an absolute disgrace. They should come down themselves and see what they are putting patients through instead of hiding behind excuses.
This place calls itself a private hospital, but the experience is worse than a budget ward. Truly the worst decision to ever step foot here. Do yourself a favor and AVOID.</t>
  </si>
  <si>
    <t>The nurses in the 6-bedder ward are much more attentive and caring than those in the 1-bedder ward. Why is that? Why am I paying so much more for poorer service? And how is it acceptable for your nurse to show attitude and speak to me rudely, as if I were her friend? As a patient, do I not have the right to say Im in pain and request a gauze change?
I waited 20 minutes just to be told no. That is unbelievable. I wasnt even being demanding. I saw your nurses rolling their eyes when I asked for helpso what exactly am I paying over $1,000 a night for? I might as well stay in the 6-bedder ward, where the nurses actually show care. If not for the noisy environment, I would never have upgraded my ward only to receive worse service.
Perhaps its time to review your staffs attitude and level of patience. You dont need a facility upgradeyou need a service upgrade. I fully understand how difficult their job is, and I have not been a demanding patient. But empathy is the key here.
This is my first operation and my first hospitalisation. I chose this hospital expecting the best treatment, regardless of the premium. Instead, I am left feeling disappointed</t>
  </si>
  <si>
    <t>his is my first time staying in this hospital and it is hell of nightmares for me. On the 1st day I was warded, I have informed the hospital that I have a Insurance policy in place and my policy cover me for a single bed ward. Hospital informed that occupancy for single bed is full and only six bedder room is available. They will upgrade me once it is available but that never happens even when the two bedder next door are not occupied. During my stay, there are on going hacking works that extended till 9 pm. It only stopped when another patient complained. On the 2nd day, the nurse told me that i have to fast for 6 hours as they need to do a scope test for me at 2pm. At 3pm, no one came and my husband had to go and ask the nurse. The nurse then informed that due to miscommunication they had omitted my test. Shouldnt they have the courtesy to inform us earlier instead of letting us wait. The nurse even has the gut to say that as a kind gesture they will waive the surcharges as the scope test is done after 5pm. My appointment is confirmed at 2pm, they screwed it up and expect me to pay for it? After my scope test was done, the attending Dr say that I probably can be discharge today and he will review me at 7.30pm. By 8.00pm no one came and my husband had to approach the nurses and was surprised by the reply,  Call dr no answer, message dr no reply!
This hospital management seriously need to wake up on their service standards. They totally have no concept on time. This is so unprofessional!</t>
  </si>
  <si>
    <t>I submitted a valid corporate Letter of Guarantee in 2024. More than a year later, the hospital contacted me saying there was no response from the insurer and tried to make me personally liable.
This is not acceptable. Following up with insurers is the hospitals responsibility, not the patients. Any internal delay or lapse should not be pushed to patients after such a long time.
For a private hospital, the lack of ownership and accountability is disappointing. If you are using insurance, do not assume the hospital will follow up properly. Chase everything yourself.</t>
  </si>
  <si>
    <t>Was their loyal customer for a while. This time round the experience was rather unpleasant. my domestic helper had recurring fever for 3 days and I thought better send her down for a check. Doctor verified that yes this is serious enough to warrant a check. Arrived at 8pm and there wasnt many patients at that time. Doc did blood test (twice) to verify if she has dengue and put her on drip?? Halfway through more patients came trickling in and the nurses seemed overwhelmed. So I guess that justifies for their bad attitude when I asked if someone can assist her in removing the completed drip so we can go off.
Waited 4 hours to do some simple blood test and the only conclusion was it was not dengue and she can go home and rest with anti nauseous anti diarrhea medication. Billed $700 bucks for something a regular clinic could have done for less than $100 without the premium service that wasnt really necessary. Lesson learnt, do not go mount alvernia if you are expecting private hospitals prompt and friendly service.</t>
  </si>
  <si>
    <t>I delivered at this hospital in 2022 and was unfortunately not satisfied with the nursing care provided to me and my baby. Although I was admitted to a single-room ward, I did not experience better service and felt that even basic care was lacking. After delivery, I was transferred from the stretcher to the bed in a very rough manner, which caused significant pain. When I had questions regarding my babys care, the nurses were often impatient, dismissive, and unresponsive, which made the overall experience very distressing. I am generally not someone who asks many questions, so this was particularly disappointing.</t>
  </si>
  <si>
    <t>Felt really taken care of during my stay. Was warded for 2 days and everyone from A&amp;E to gynae ward, doctors and discharge were so kind and patient. The ward itself was also clean and comfortable! Will be delivering here in a few weeks and am assured that id be well taken care of.</t>
  </si>
  <si>
    <t>I was very nervous during my medical checkup, especially because of the language barrier. Im deeply thankful to Chan Hui Xian Jane for staying with me the whole time  her gentle care, patience, and professionalism made me feel completely safe and supported. She truly went above and beyond, turning what could have been a stressful experience into a comforting one.</t>
  </si>
  <si>
    <t>Overall nice experience here. Check in and check out was fast. However, if you check out at peak hour, there will be some wait. Its still faster than Parkway East as theres more than 2 counters.
The ward and room goes by name instead of number so it can be a little difficult to locate.
Service from doctor and nurses are good.
Food menu selection is good and food is tasty too.
2 bedded room is more spacious than Mount Elizabeth. However, they also do not provide headphone unlike Parkway East. So expect noise from your neighbours TV.
Plus point is plenty of parking spaces.</t>
  </si>
  <si>
    <t>Was admitted in Mt Alvernia earlier this year in March, in the ICU for one night and four nights in general ward.
I really appreciate how there was much less waiting time and didnt have to crowd with others to wait for a bed. Their service was swift despite the evening time and only one or two doctors available. The air conditioning was good too so it didnt feel stuffy or suffocating. It was quite difficult as I was previously at TTS waiting for a bed for hours before I decided I wanted a transfer to Mt Alvernia.
It does get quite hard to rest but its because the nurses come in to check on you often. I do appreciate the nurses are quite thoughtful and kind. Food was basic hospital food that I didnt quite had the appetite for. Thankful that there was a food court outside with ban mian so my husband was able to have that takeaway for me when he visits.</t>
  </si>
  <si>
    <t>I wan to recommend for ob gyne dra Candice..shes very awesome cool nd professional doctor..she make my giving birth unforgettable very painless..thank u dra Candice for everything..and I wan to thanks the staff at mt Alvernia from the delivery suite to my room Dey very polite caring nd very attentive..thank u so much..</t>
  </si>
  <si>
    <t>My husband and I had a pleasant 4D3N at St Annes maternity ward. From pre-admission to discharge it felt like I have met more than 20 different staff and they are all knowledgeable, helpful and friendly. We also enjoyed most of my meals and is always looking forward to the next one (tea break inclusive). Took the most basic single room and it was pleasantly bright (full length window), new and comfortable. (My first stay I slept in 2-bed room by the door in the old building and I must say it felt depressive). Overall experience felt like a staycation.</t>
  </si>
  <si>
    <t>At first was told by nurse that the report would be out for 1-2 hours, checked while it has been 2 and half hours and the nurse had not good attitude and said the doc is printing the report and will be my turn very soon, but in the end waiting for 3 hours long. I fainted and lost consciousness before coming to this hospital, and the environment is totally not suitable for a patient like this to wait for this long. The hospital should give patients correct explanations and consider the patient conditions, at least with better attitude</t>
  </si>
  <si>
    <t>I am extremely disappointed with the outpatient lab at Mount Alvernia Hospital. My three-year-old child was subjected to an unprofessional and rough blood draw by a nurse who clearly lacked the skill and patience required to handle young children. The experience was unnecessarily traumatic for my child, especially when compared to the far more competent and gentle approach we previously encountered with the urgent care staff at the same hospital.
What makes matters worse is the hospitals complete lack of accountability. I submitted detailed feedback through their official portal over a month ago and have yet to receive any acknowledgment, response, or apology. This silence is unacceptable for a healthcare institution that claims to provide compassionate care.
Children deserve to be treated with gentleness and respect. Parents deserve assurance that feedback will be taken seriously. I demand a proper response and apology from Mount Alvernia Hospital, and I sincerely hope that the outpatient lab staff are retrained to ensure no other child has to go through what mine did.</t>
  </si>
  <si>
    <t>All the staff at Mt A were super efficient and nice! I want to especially compliment a male staff member from the Business Office, as he provided me with a lot of helpful information regarding my insurance claim. Although I didnt get his name, he was the one who spoke very fast (though I could still catch what he said). Kudos to him for being so helpful and informative!</t>
  </si>
  <si>
    <t>Were incredibly grateful for the wonderful team of nurses who stood by us during such a special and life changing moment. As first-time parents, we were nervous and unsure but the nurses guided us with so much care, patience, and warmth.
Everyone we encountered from the nurses and cleaners to the chefs made us feel welcomed and supported. Their kindness truly meant a lot to us during this important time.
The only thing that dampened the experience was the air conditioning in our room. It couldnt be adjusted due to a technical fault, and despite raising the temperature hours before, the room stayed too cold which made us worried for our newborn's comfort. It was frustrating when the maintenance team simply brushed off our concern with it takes time, even after we explained how long we had been trying to fix it.
Still, the care we received from the medical and support staff far outweighed this hiccup. Thank you all for taking such good care of our little family. Well always remember the warmth you gave us even if the room was cold.</t>
  </si>
  <si>
    <t>I want to express my sincere appreciation for customer service officer - ms chan si muns help during this administration process on 27 March 2025, morning.
Her patience has truly stood out, and Im especially grateful for how she took the time to explain the entire payment process via different insurers, medisave, The way you clearly outlined each step and provided the necessary details made everything much easier to understand and making decisions. Also reminded us of the parking vouchers for patients who drives, with details on claims.
Your support and dedication have made a potentially stressful experience much more manageable, and I truly appreciate her kindness and effort throughout.
Thank you ms Chan Si Mun once again for being so helpful and patient.
I Compared customer services with parkway - mount e novena which I just visited on 25-26 March - for urgent care, certainly mount alvernia customer care team has more sympathy and think from customer pov mindset. Keep it up!</t>
  </si>
  <si>
    <t>I went to this Hospital with 24 Hour Urgent care this morning and from start to end, staff from Check in are very accommodating and prompt service. They escort you wherever the doctor asked you to do just to make sure you wont be wondering around looking for the place and not getting lost. And since I dont have Singaporean Medical Insurance they make you choose what procedure need to be done. The elevator itself is immaculate no hand print anywhere shiny and spotless. Staff are courteous and very approachable. Im out and about after short period of waiting. Thank you Mt Alvernia 24 Hour Urgent care!</t>
  </si>
  <si>
    <t>Heres a clearer and more concise version: &gt; I was warded here for 3.5 days and did not regret my choice. The room was spacious and clean, fully stocked with toiletries, and housekeeping was done daily (including changing the bedsheets). The nurses were very polite, proactive, and helpful  I did not encounter anyone who was unfriendly or unapproachable. In fact, they consistently reminded me to call if I needed anything or assistance getting out of bed. The food variety was excellent, and some dishes were really delicious. My only feedback is a small point: I hope the drinking cup can be changed daily when new flasks of water are provided. Highly recommended!</t>
  </si>
  <si>
    <t>Countless times i went to this hospital, but felt like youre in a hotel. Great facilities &amp; since its Christmas season they well decorated the lobby, I believed its uplifting to patients &amp; families to always see a bright side of any situation despite its a hospital.</t>
  </si>
  <si>
    <t>I came to the prenatal radiology lab for normal pelvis scan. It was early morning 8.30am scan. Both of the staff seem really cold however the staff wearing specs mid age lady was extremely cold and not friendly. Giving an attitude problem so early in the morning?! She asked for IC and then later said something like dont go yet got a lot of forms to fill. She could use better phasing and act like a professional. I have an appointment at the private Gynae Aster Clinic later on so I had to do the scan at the hospital radiology first. I wasnt sure about the process or how the scan images/information would be sent to the gynae Doctor later. I had thought it would be sent to them electronically through the system. However, after my scan at the lab, that desk staff gave me a big envelope. Not explaining what it is inside or what to do about it. So I asked her politely what do I do about this?. Do I give this to the doctor or keep? and she replied rudely I suppose so?!. I was taken aback. I mean she could replied politely or at least in a normal friendly manner. If you have such a bad attitude so early morning or hate your job, better not work at front desk facing or talking to patients/customers. This is such a bad experience considering this is a private hospital and also at the scan lab. Do look into the attitude and service of this staff. Ive already written to the website feedback site and didnt get any reply whatsoever.</t>
  </si>
  <si>
    <t>I had a wonderful experience with the hospitals car valet service. From the moment I arrived, the staff were friendly, professional, and incredibly helpful. They greeted me right away, explained the process clearly, and made everything feel effortless during what could have been a stressful visit. The valet team handled my car with care, and it was ready for me the moment I returnedno waiting, no hassle. The convenience made a huge difference, especially in a hospital setting where every minute and every bit of comfort counts. The service was organized, efficient, and very well-run. I appreciated the courteous attitude of the staff and the peace of mind knowing my car was in good hands. Highly recommend this valet service to anyone visiting the hospital. It truly adds ease and comfort at a time when its needed most!</t>
  </si>
  <si>
    <t>Exceptional Cardiac Care by Dr. Edgar Tay &amp; the AHVC Team "We had an outstanding experience at AHVC (Mount Elizabeth Novena Specialist Center). My sister, Aye Aye Mar, was treated for Severe Mitral Stenosis via a PBMV procedure, which was executed flawlessly. Dr. Edgar Tay is not only a highly skilled specialist but also a noble-hearted physician who treats his patients with immense care. The AHVC team operates with a level of professionalism and compassion that gave our family great peace of mind. The entire processfrom consultation to a smooth recoverywas handled with excellence. For anyone requiring specialized heart care in Singapore, I highly recommend Dr. Edgar Tay and his team."</t>
  </si>
  <si>
    <t>long waiting time though the reception area was almost empty. receptionist NURUL ERWINA is extremely rude. ignores patients though we stand right in front of her. she continues to chit chat and laugh with her colleagues instead of serving patients. i said hi twice and she blatantly ignored. her male colleague had to walk over and address my question instead. bad experience.</t>
  </si>
  <si>
    <t>I would like to express my heartfelt appreciation to the entire team at the Accident &amp; Emergency (A&amp;E) Department at Mount Elizabeth Novena Hospital for their outstanding care and professionalism. From the moment I arrived, I was met with prompt attention and a calm, reassuring atmosphere. The registration process was efficient, and the medical staff ensured that I was assessed and treated without unnecessary delay. The nurses were compassionate, attentive, and clearly dedicated to their work, while the doctors demonstrated not only clinical expertise but also took the time to explain my condition and treatment plan thoroughly. Thank you once again to the entire A&amp;E team for the excellent care and support. Your dedication truly makes a difference. I would like to commend the valet team for their outstanding and efficient service. The entire process, from vehicle drop-off to collection, is impressively streamlined and professionally managed. The staff,especially the team at the lobby consistently demonstrate helpfulness not only with parking but also by assisting patients, offering directions, and providing clear information when needed. It's also encouraging to see that the valet team values and incorporates feedback from patients, showing a commitment to continuous improvement. Their polite and respectful demeanor stands outthey often remember returning patients such as myself and understand their specific needs, which adds a personal and caring touch to the service. Overall, the valet service greatly enhances the experience for patients and visitors. Keep up the excellent work!</t>
  </si>
  <si>
    <t>I brought my child to the A&amp;E and was told by the front desk that the wait would be one to two hours. After waiting an hour, they finally began the registration process, only to ask us to wait another one to two hours outside. An hour later, a doctor examined my child and then sent us back outside again to wait. Eventually, the A&amp;E duty doctor admitted he had forgotten about us and complained that he was the only physician on duty in the entire A&amp;E. Frankly, thats not an acceptable excuse. If you're going to take on the responsibility of patient care, it should be done professionally. Dont take out your frustrations with management on patientsespecially not children. Were paying a premium for what is supposed to be high-quality care. Is this how we should be treated? It was later determined that my child needed to be hospitalized. Yet we waited another two hours with no progress on admission. After checking with the front desk multiple times, we were told it would just be a few more minutes. By then, it was already past 1:00 a.m. We were then directed to the nursing department, where we were told that the admission required multiple departmental approvals due to "complex procedures." When we expressed our frustration, the nursing staff simply told us to file a complaint with management. Is this really the level of service one should expect from a private, high-end hospital? You should be delivering attentive care and showing initiative to ease patient sufferingnot responding with indifference or irritation. By the time the formal admission process was complete, it was well past 3:00 a.m. I strongly urge you to reflect on how the front desk and nursing teams interact with patients and to seriously consider streamlining the entire admission process. If you genuinely believe nothing was wrong with how this was handled, then there's nothing more for me to say.</t>
  </si>
  <si>
    <t>A big thank you to the receptionist staff who helped me when I dropped my phone in a taxi. One of the team went above and beyond to make sure I got it back, and he did! Truly grateful. Ive had all three of my babies here, and every experience has been wonderful. So happy with the care and service at this hospital!</t>
  </si>
  <si>
    <t>5 Stars Pricing 2 Stars Service. Came here for Day Surgery today. Terrible experience. (1) Admission takes forever. The counter called a number before me 4 times and nobody turned up. I went to the counter and saw two ladies sitting there chatting. Told them Im next in line, asked if they can serve me since the person before me is not around. She said shell check. Went to front counter to call the name a few times and truly nobody responded, so they served me. (2) After getting me to the room and then sending me to the waiting area before they wheel me into the Operating Theatre, my nightmare began They put me on a bed in waiting area that is cramped, stuffy and narrow, like in a PRISON. I could almost touch the two walls around me by stretching out my hands. I would have endured this if its a short wait but no I waited for ONE HOUR in this PRISON. I was feeling so stressed that I started crying. I do not have any history of being claustrophobic. But this place is really too much for me to bear. I asked for help several times but all the staff did was ask me to WAIT. My doctor finally arrived after more than 1 hour wait. He apologized but it couldnt make up for the stress and suffering I had endured. The hospital room is nice but the surgery waiting room they put me in was TERRIBLE. I hope Mt E can improve your service and not put patients through such TORTURE. Thank you.</t>
  </si>
  <si>
    <t>Writing in to compliment the service &amp; care that the nurses shown to me. 11am 27th Nov I visited the hospital for a short procedure today. #hysterosalpingogran I am really thankful to the 3nurses whos by my side from the start to the end of the procedure. I am super nervous &amp; scared to be exact from the start, but their words comforted me. Their gesture make a difference to me today. I really feel what is great service and customer care towards a patient. Kudos nurses, I cant recall your names. But thank you ladies , you all demonstrate whats is empathy and care ️</t>
  </si>
  <si>
    <t>Had my first time surgery at Mt. E Novena in end Nov 2023 and stayed for a few nights. Actual day Admission was very smooth and within 20 mins as I was advised to do a pre-admission session via scheduled zoom earlier. Reception design at lobby was like a hotel with a pianist playing the piano to soothe the atmosphere. Room was full and thankfully they done a complimentary upgrade to a really spacious suite. Seamless process of onboarding to surgery. Smiling and warm service throughout the pre-ops and stay that made the experience feel less fearful and painful. They cater 3 meals and 2 snacks daily. Some meals were good, so were so so. Discharge process was also smooth and quick and feel like checking out. Overall is pretty good. If there is one thing to pick, it was the slow/no response to our requests for things like toilet paper, shower gel, milo etc</t>
  </si>
  <si>
    <t>Exceptional Care at Mt. Elizabeth Novena  Cardiac Ward My husband, William, was admitted from 9 to 24 August 2025, and we are so grateful for the outstanding care and support throughout his stay. Ward 4 is truly a hidden gem! Special thanks to the amazing nurses on duty during this periodNorsakina , Odette, Lynn Ng (on call sister on 9 Aug 2025) , Wong Yah Ling, Destri, Sean Toh, Yu Yingxi, Siti Haslidah, Yah Li, Yee Wei Kar, Pra Manimala, and Chua Sze Meifor your warmth and attentiveness. Thank you also to Azira from housekeeping for keeping the ward spotless and adding lovely touches like fresh orchids, and to Ong Ye Jun for serving hot and timely meals every day. We left with hearts full of gratitude. Thank you, Ward 4you made a difficult time so much more bearable. Ward 4, you guys rock!</t>
  </si>
  <si>
    <t>My son recently underwent arm surgery, and our experience was outstanding from start to finish. The doctor was fantasticthorough in his explanations and patient in answering all our questions, which gave us great peace of mind. The facilities were clean and well-equipped, and the nursing staff was exceptionalkind, attentive, and always ready to help. We are truly grateful for the excellent care we received. Thank you!</t>
  </si>
  <si>
    <t>Visited their UCC on 31 March around 3.30pm and was only discharged around 9.30pm. Patient load was less than 10 btw. Total consultation time + time spent on drawing blood and taking xrays were less than 30 mins. Wasted 6 hours of my life waiting. Not forgetting how your nurse came into the room bawling, as if I know whats lined up for me. During dispensing of medications, your nurse didnt even bother to check for both identifiers. What if Im the wrong patient? Not to mention how she didnt even wanted to spend time on explaining the medications until i asked. To all your ucc nurses: if you are not happy, then dont come to work. Dont make your patient a victim of your unhappiness. Shame on you for advocating care is in the details because you cant even get the basics right.</t>
  </si>
  <si>
    <t>Went to their A&amp;E at 2.30am on 3rd May 2023. BY 3am, we are done and off we go with the medicines  Superb service by the A&amp;E team at Mount Elizabeth Novena. Keep up the good job!  Worth every dollars paid. Thank you very much.</t>
  </si>
  <si>
    <t>Quick but expensive and ineffective treatment. Will not recommend. Do not go to their urgent care if it is for an open wound. The emergency doctor does not understand wound healing well. My wound is still open more than five weeks later and is infected. I have been told by other doctors to expect bad scarring because the skin is not closed. I will probably have to see a dermatologist or plastic surgeon to get corrective care. Tried complaining on their website and couldnt submit it. Clicked on the WhatsApp and link cannot be opened. Guess they dont want to hear negative reviews.</t>
  </si>
  <si>
    <t xml:space="preserve">I truly appreciate the valet teams efficiency and friendliness, making my visit smooth and pleasant.The valet staff were so attentive and welcoming  it really made a difference in my experience. </t>
  </si>
  <si>
    <t>a full fledged tertiary level hospital with patient friendly environment, facilities and skilled doctors and nurses. not to mention its services are pricey.but if you want best treatment its quite an option.</t>
  </si>
  <si>
    <t>We would like to give Zero stars if possible. Poor communication between ward nurses and porter who was so rude. The nurses put words into our mouth and claimed to the attending surgeon that we would like to be discharged asap?! Even though my girl was still unwell and recovering from GA?! The nurse used an alcohol swab to wipe my girls fresh surgery wound which left her screaming in pain. We cant help but question if the nurses were medically trained or not. Very poor and traumatising experience. we were recommended by our surgeon to use this place but we would definitely not recommend anyone to use their services at all cost. Such a nightmare and distressing first and last experience here. Horrible.</t>
  </si>
  <si>
    <t>Words</t>
  </si>
  <si>
    <t>No.</t>
  </si>
  <si>
    <t>Number of words</t>
  </si>
  <si>
    <t>Min</t>
  </si>
  <si>
    <t>Q1</t>
  </si>
  <si>
    <t>Median</t>
  </si>
  <si>
    <t>Q3</t>
  </si>
  <si>
    <t>Max</t>
  </si>
  <si>
    <t>Mean</t>
  </si>
  <si>
    <t>No. 300&gt; words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</si>
</sst>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font>
    <font>
      <sz val="11"/>
      <color theme="1"/>
      <name val="Aptos Narrow"/>
      <family val="2"/>
      <scheme val="minor"/>
    </font>
    <font>
      <sz val="11"/>
      <name val="Arial"/>
      <family val="2"/>
    </font>
    <font>
      <sz val="11"/>
      <name val="Calibri"/>
      <family val="2"/>
    </font>
    <font>
      <sz val="8"/>
      <name val="Arial"/>
      <family val="2"/>
    </font>
    <font>
      <sz val="12"/>
      <color theme="1"/>
      <name val="Aptos Narrow"/>
      <family val="2"/>
      <scheme val="minor"/>
    </font>
    <font>
      <sz val="11"/>
      <color theme="1"/>
      <name val="Arial"/>
      <family val="2"/>
    </font>
    <font>
      <sz val="11"/>
      <color rgb="FF4D5156"/>
      <name val="Arial"/>
      <family val="2"/>
    </font>
    <font>
      <sz val="11"/>
      <color rgb="FF1F1F1F"/>
      <name val="Arial"/>
      <family val="2"/>
    </font>
    <font>
      <sz val="11"/>
      <color rgb="FF5E5E5E"/>
      <name val="Arial"/>
      <family val="2"/>
    </font>
    <font>
      <sz val="11"/>
      <color rgb="FF1F264D"/>
      <name val="Adobe-garamond-pro"/>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5" fillId="0" borderId="0"/>
    <xf numFmtId="0" fontId="1" fillId="0" borderId="0"/>
  </cellStyleXfs>
  <cellXfs count="45">
    <xf numFmtId="0" fontId="0" fillId="0" borderId="0" xfId="0"/>
    <xf numFmtId="0" fontId="2" fillId="0" borderId="0" xfId="0" applyFont="1" applyAlignment="1">
      <alignment wrapText="1"/>
    </xf>
    <xf numFmtId="0" fontId="2" fillId="0" borderId="0" xfId="0" applyFont="1" applyAlignment="1">
      <alignment horizontal="center" wrapText="1"/>
    </xf>
    <xf numFmtId="0" fontId="0" fillId="0" borderId="0" xfId="0" applyAlignment="1">
      <alignment wrapText="1"/>
    </xf>
    <xf numFmtId="0" fontId="0" fillId="0" borderId="0" xfId="0" applyAlignment="1">
      <alignment horizontal="center" wrapText="1"/>
    </xf>
    <xf numFmtId="0" fontId="6" fillId="0" borderId="0" xfId="0" applyFont="1" applyAlignment="1">
      <alignment wrapText="1"/>
    </xf>
    <xf numFmtId="0" fontId="6" fillId="0" borderId="0" xfId="1" applyFont="1" applyAlignment="1">
      <alignment wrapText="1"/>
    </xf>
    <xf numFmtId="0" fontId="6" fillId="0" borderId="0" xfId="1" applyFont="1"/>
    <xf numFmtId="0" fontId="6" fillId="0" borderId="0" xfId="2" applyFont="1" applyAlignment="1">
      <alignment vertical="top"/>
    </xf>
    <xf numFmtId="0" fontId="6" fillId="0" borderId="0" xfId="2" applyFont="1"/>
    <xf numFmtId="0" fontId="6" fillId="0" borderId="0" xfId="2" applyFont="1" applyAlignment="1">
      <alignment wrapText="1"/>
    </xf>
    <xf numFmtId="0" fontId="2" fillId="0" borderId="0" xfId="2" applyFont="1" applyAlignment="1">
      <alignment wrapText="1"/>
    </xf>
    <xf numFmtId="0" fontId="6" fillId="0" borderId="0" xfId="0" applyFont="1"/>
    <xf numFmtId="0" fontId="6" fillId="2" borderId="0" xfId="0" applyFont="1" applyFill="1" applyAlignment="1">
      <alignment wrapText="1"/>
    </xf>
    <xf numFmtId="0" fontId="6" fillId="2" borderId="0" xfId="0" applyFont="1" applyFill="1"/>
    <xf numFmtId="0" fontId="6" fillId="2" borderId="0" xfId="0" applyFont="1" applyFill="1" applyAlignment="1">
      <alignment horizontal="left" vertical="top" wrapText="1"/>
    </xf>
    <xf numFmtId="0" fontId="6" fillId="2" borderId="0" xfId="0" applyFont="1" applyFill="1" applyAlignment="1">
      <alignment horizontal="left" vertical="top"/>
    </xf>
    <xf numFmtId="0" fontId="8"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xf>
    <xf numFmtId="0" fontId="2" fillId="0" borderId="0" xfId="0" applyFont="1" applyAlignment="1">
      <alignment horizontal="left" vertical="top" wrapText="1"/>
    </xf>
    <xf numFmtId="0" fontId="6" fillId="0" borderId="0" xfId="0" applyFont="1" applyAlignment="1">
      <alignment horizontal="left" vertical="top" wrapText="1"/>
    </xf>
    <xf numFmtId="0" fontId="0" fillId="0" borderId="0" xfId="0" applyAlignment="1">
      <alignment horizontal="left" vertical="top" wrapText="1"/>
    </xf>
    <xf numFmtId="0" fontId="6" fillId="0" borderId="0" xfId="1" applyFont="1" applyAlignment="1">
      <alignment horizontal="left" vertical="top" wrapText="1"/>
    </xf>
    <xf numFmtId="0" fontId="6" fillId="0" borderId="0" xfId="1" applyFont="1" applyAlignment="1">
      <alignment horizontal="left" vertical="top"/>
    </xf>
    <xf numFmtId="0" fontId="7" fillId="0" borderId="0" xfId="1" applyFont="1" applyAlignment="1">
      <alignment horizontal="left" vertical="top" wrapText="1"/>
    </xf>
    <xf numFmtId="0" fontId="8" fillId="0" borderId="0" xfId="1" applyFont="1" applyAlignment="1">
      <alignment horizontal="left" vertical="top" wrapText="1"/>
    </xf>
    <xf numFmtId="0" fontId="6" fillId="0" borderId="0" xfId="2" applyFont="1" applyAlignment="1">
      <alignment horizontal="left" vertical="top" wrapText="1"/>
    </xf>
    <xf numFmtId="0" fontId="6" fillId="0" borderId="0" xfId="2" applyFont="1" applyAlignment="1">
      <alignment vertical="top" wrapText="1"/>
    </xf>
    <xf numFmtId="0" fontId="2" fillId="0" borderId="0" xfId="2" applyFont="1" applyAlignment="1">
      <alignment horizontal="left" vertical="top" wrapText="1"/>
    </xf>
    <xf numFmtId="0" fontId="3" fillId="0" borderId="0" xfId="0" applyFont="1" applyAlignment="1">
      <alignment horizontal="left" vertical="top" wrapText="1"/>
    </xf>
    <xf numFmtId="0" fontId="6" fillId="0" borderId="0" xfId="2" applyFont="1" applyAlignment="1">
      <alignment horizontal="left" vertical="top"/>
    </xf>
    <xf numFmtId="0" fontId="4" fillId="0" borderId="0" xfId="0" applyFont="1" applyAlignment="1">
      <alignment horizontal="left" vertical="top" wrapText="1"/>
    </xf>
    <xf numFmtId="0" fontId="2" fillId="2" borderId="0" xfId="0" applyFont="1" applyFill="1" applyAlignment="1">
      <alignment horizontal="left" vertical="top" wrapText="1"/>
    </xf>
    <xf numFmtId="0" fontId="2" fillId="2" borderId="0" xfId="0" applyFont="1" applyFill="1" applyAlignment="1">
      <alignment horizontal="left" vertical="top"/>
    </xf>
    <xf numFmtId="0" fontId="2" fillId="0" borderId="0" xfId="0" applyFont="1" applyAlignment="1">
      <alignment horizontal="left" vertical="top"/>
    </xf>
    <xf numFmtId="0" fontId="2" fillId="0" borderId="0" xfId="1" applyFont="1" applyAlignment="1">
      <alignment horizontal="left" vertical="top" wrapText="1"/>
    </xf>
    <xf numFmtId="0" fontId="2" fillId="0" borderId="0" xfId="1" applyFont="1" applyAlignment="1">
      <alignment horizontal="left" vertical="top"/>
    </xf>
    <xf numFmtId="0" fontId="6" fillId="0" borderId="1" xfId="0" applyFont="1" applyBorder="1" applyAlignment="1">
      <alignment horizontal="center" vertical="top"/>
    </xf>
    <xf numFmtId="0" fontId="6" fillId="2" borderId="1" xfId="0" applyFont="1" applyFill="1" applyBorder="1" applyAlignment="1">
      <alignment horizontal="center" vertical="top"/>
    </xf>
    <xf numFmtId="0" fontId="6" fillId="2" borderId="1" xfId="0" applyFont="1" applyFill="1" applyBorder="1" applyAlignment="1">
      <alignment horizontal="center"/>
    </xf>
    <xf numFmtId="0" fontId="10" fillId="0" borderId="0" xfId="0" applyFont="1"/>
    <xf numFmtId="0" fontId="6" fillId="0" borderId="0" xfId="0" applyFont="1" applyAlignment="1">
      <alignment horizontal="center"/>
    </xf>
    <xf numFmtId="1" fontId="6" fillId="0" borderId="1" xfId="0" applyNumberFormat="1" applyFont="1" applyBorder="1" applyAlignment="1">
      <alignment horizontal="center"/>
    </xf>
    <xf numFmtId="0" fontId="6" fillId="2" borderId="1" xfId="0" applyFont="1" applyFill="1" applyBorder="1" applyAlignment="1">
      <alignment horizontal="center"/>
    </xf>
  </cellXfs>
  <cellStyles count="3">
    <cellStyle name="Normal" xfId="0" builtinId="0"/>
    <cellStyle name="Normal 2" xfId="1" xr:uid="{EE3FCBD0-EE9E-4E24-9DF4-241F6F687BCE}"/>
    <cellStyle name="Normal 3" xfId="2" xr:uid="{35682697-F01F-4512-865D-DAE5068FEF3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B3FB9-A656-476E-BC9E-0609A589BBB3}">
  <sheetPr codeName="Sheet12"/>
  <dimension ref="A1:E201"/>
  <sheetViews>
    <sheetView workbookViewId="0">
      <selection sqref="A1:A1048576"/>
    </sheetView>
  </sheetViews>
  <sheetFormatPr defaultColWidth="9.109375" defaultRowHeight="13.8"/>
  <cols>
    <col min="1" max="1" width="5.88671875" style="35" bestFit="1" customWidth="1"/>
    <col min="2" max="2" width="130.5546875" style="20" customWidth="1"/>
    <col min="3" max="3" width="15.5546875" style="20" customWidth="1"/>
    <col min="4" max="4" width="10" style="35" bestFit="1" customWidth="1"/>
    <col min="5" max="5" width="11.77734375" style="35" bestFit="1" customWidth="1"/>
    <col min="6" max="16384" width="9.109375" style="35"/>
  </cols>
  <sheetData>
    <row r="1" spans="1:5" s="34" customFormat="1">
      <c r="A1" s="34" t="s">
        <v>584</v>
      </c>
      <c r="B1" s="33" t="s">
        <v>421</v>
      </c>
      <c r="C1" s="33" t="s">
        <v>423</v>
      </c>
      <c r="D1" s="34" t="s">
        <v>424</v>
      </c>
      <c r="E1" s="34" t="s">
        <v>422</v>
      </c>
    </row>
    <row r="2" spans="1:5" ht="41.4">
      <c r="A2" s="35">
        <v>1</v>
      </c>
      <c r="B2" s="20" t="s">
        <v>414</v>
      </c>
      <c r="C2" s="20" t="s">
        <v>415</v>
      </c>
      <c r="D2" s="35" t="s">
        <v>425</v>
      </c>
      <c r="E2" s="35">
        <v>0</v>
      </c>
    </row>
    <row r="3" spans="1:5" ht="138">
      <c r="A3" s="35">
        <v>2</v>
      </c>
      <c r="B3" s="20" t="s">
        <v>452</v>
      </c>
      <c r="C3" s="20" t="s">
        <v>63</v>
      </c>
      <c r="D3" s="35" t="s">
        <v>425</v>
      </c>
      <c r="E3" s="35">
        <v>0</v>
      </c>
    </row>
    <row r="4" spans="1:5" ht="82.8">
      <c r="A4" s="35">
        <v>3</v>
      </c>
      <c r="B4" s="20" t="s">
        <v>453</v>
      </c>
      <c r="C4" s="20" t="s">
        <v>370</v>
      </c>
      <c r="D4" s="35" t="s">
        <v>425</v>
      </c>
      <c r="E4" s="35">
        <v>0</v>
      </c>
    </row>
    <row r="5" spans="1:5" ht="110.4">
      <c r="A5" s="35">
        <v>4</v>
      </c>
      <c r="B5" s="20" t="s">
        <v>454</v>
      </c>
      <c r="C5" s="20" t="s">
        <v>63</v>
      </c>
      <c r="D5" s="35" t="s">
        <v>425</v>
      </c>
      <c r="E5" s="35">
        <v>0</v>
      </c>
    </row>
    <row r="6" spans="1:5" ht="41.4">
      <c r="A6" s="35">
        <v>5</v>
      </c>
      <c r="B6" s="20" t="s">
        <v>372</v>
      </c>
      <c r="C6" s="20" t="s">
        <v>63</v>
      </c>
      <c r="D6" s="35" t="s">
        <v>425</v>
      </c>
      <c r="E6" s="35">
        <v>0</v>
      </c>
    </row>
    <row r="7" spans="1:5" ht="82.8">
      <c r="A7" s="35">
        <v>6</v>
      </c>
      <c r="B7" s="20" t="s">
        <v>373</v>
      </c>
      <c r="C7" s="20" t="s">
        <v>54</v>
      </c>
      <c r="D7" s="35" t="s">
        <v>425</v>
      </c>
      <c r="E7" s="35">
        <v>3</v>
      </c>
    </row>
    <row r="8" spans="1:5" ht="151.80000000000001">
      <c r="A8" s="35">
        <v>7</v>
      </c>
      <c r="B8" s="20" t="s">
        <v>455</v>
      </c>
      <c r="C8" s="20" t="s">
        <v>50</v>
      </c>
      <c r="D8" s="35" t="s">
        <v>425</v>
      </c>
      <c r="E8" s="35">
        <v>0</v>
      </c>
    </row>
    <row r="9" spans="1:5" ht="96.6">
      <c r="A9" s="35">
        <v>8</v>
      </c>
      <c r="B9" s="20" t="s">
        <v>375</v>
      </c>
      <c r="C9" s="20" t="s">
        <v>60</v>
      </c>
      <c r="D9" s="35" t="s">
        <v>425</v>
      </c>
      <c r="E9" s="35">
        <v>2</v>
      </c>
    </row>
    <row r="10" spans="1:5" ht="27.6">
      <c r="A10" s="35">
        <v>9</v>
      </c>
      <c r="B10" s="20" t="s">
        <v>456</v>
      </c>
      <c r="C10" s="20" t="s">
        <v>63</v>
      </c>
      <c r="D10" s="35" t="s">
        <v>425</v>
      </c>
      <c r="E10" s="35">
        <v>0</v>
      </c>
    </row>
    <row r="11" spans="1:5" ht="27.6">
      <c r="A11" s="35">
        <v>10</v>
      </c>
      <c r="B11" s="20" t="s">
        <v>377</v>
      </c>
      <c r="C11" s="20" t="s">
        <v>378</v>
      </c>
      <c r="D11" s="35" t="s">
        <v>425</v>
      </c>
      <c r="E11" s="35">
        <v>1</v>
      </c>
    </row>
    <row r="12" spans="1:5" ht="27.6">
      <c r="A12" s="35">
        <v>11</v>
      </c>
      <c r="B12" s="20" t="s">
        <v>403</v>
      </c>
      <c r="C12" s="20" t="s">
        <v>50</v>
      </c>
      <c r="D12" s="35" t="s">
        <v>425</v>
      </c>
      <c r="E12" s="35">
        <v>0</v>
      </c>
    </row>
    <row r="13" spans="1:5" ht="82.8">
      <c r="A13" s="35">
        <v>12</v>
      </c>
      <c r="B13" s="20" t="s">
        <v>457</v>
      </c>
      <c r="C13" s="20" t="s">
        <v>52</v>
      </c>
      <c r="D13" s="35" t="s">
        <v>425</v>
      </c>
      <c r="E13" s="35">
        <v>0</v>
      </c>
    </row>
    <row r="14" spans="1:5" ht="55.2">
      <c r="A14" s="35">
        <v>13</v>
      </c>
      <c r="B14" s="20" t="s">
        <v>381</v>
      </c>
      <c r="C14" s="20" t="s">
        <v>49</v>
      </c>
      <c r="D14" s="35" t="s">
        <v>425</v>
      </c>
      <c r="E14" s="35">
        <v>1</v>
      </c>
    </row>
    <row r="15" spans="1:5" ht="27.6">
      <c r="A15" s="35">
        <v>14</v>
      </c>
      <c r="B15" s="20" t="s">
        <v>386</v>
      </c>
      <c r="C15" s="20" t="s">
        <v>56</v>
      </c>
      <c r="D15" s="35" t="s">
        <v>425</v>
      </c>
      <c r="E15" s="35">
        <v>0</v>
      </c>
    </row>
    <row r="16" spans="1:5">
      <c r="A16" s="35">
        <v>15</v>
      </c>
      <c r="B16" s="20" t="s">
        <v>387</v>
      </c>
      <c r="C16" s="20" t="s">
        <v>56</v>
      </c>
      <c r="D16" s="35" t="s">
        <v>425</v>
      </c>
      <c r="E16" s="35">
        <v>0</v>
      </c>
    </row>
    <row r="17" spans="1:5" ht="55.2">
      <c r="A17" s="35">
        <v>16</v>
      </c>
      <c r="B17" s="20" t="s">
        <v>384</v>
      </c>
      <c r="C17" s="20" t="s">
        <v>54</v>
      </c>
      <c r="D17" s="35" t="s">
        <v>425</v>
      </c>
      <c r="E17" s="35">
        <v>3</v>
      </c>
    </row>
    <row r="18" spans="1:5" ht="55.2">
      <c r="A18" s="35">
        <v>17</v>
      </c>
      <c r="B18" s="20" t="s">
        <v>458</v>
      </c>
      <c r="C18" s="20" t="s">
        <v>61</v>
      </c>
      <c r="D18" s="35" t="s">
        <v>425</v>
      </c>
      <c r="E18" s="35">
        <v>0</v>
      </c>
    </row>
    <row r="19" spans="1:5" ht="55.2">
      <c r="A19" s="35">
        <v>18</v>
      </c>
      <c r="B19" s="20" t="s">
        <v>380</v>
      </c>
      <c r="C19" s="20" t="s">
        <v>61</v>
      </c>
      <c r="D19" s="35" t="s">
        <v>425</v>
      </c>
      <c r="E19" s="35">
        <v>0</v>
      </c>
    </row>
    <row r="20" spans="1:5" ht="27.6">
      <c r="A20" s="35">
        <v>19</v>
      </c>
      <c r="B20" s="20" t="s">
        <v>374</v>
      </c>
      <c r="C20" s="20" t="s">
        <v>55</v>
      </c>
      <c r="D20" s="35" t="s">
        <v>425</v>
      </c>
      <c r="E20" s="35">
        <v>0</v>
      </c>
    </row>
    <row r="21" spans="1:5" ht="82.8">
      <c r="A21" s="35">
        <v>20</v>
      </c>
      <c r="B21" s="20" t="s">
        <v>388</v>
      </c>
      <c r="C21" s="20" t="s">
        <v>389</v>
      </c>
      <c r="D21" s="35" t="s">
        <v>425</v>
      </c>
      <c r="E21" s="35">
        <v>2</v>
      </c>
    </row>
    <row r="22" spans="1:5" ht="27.6">
      <c r="A22" s="35">
        <v>21</v>
      </c>
      <c r="B22" s="20" t="s">
        <v>399</v>
      </c>
      <c r="C22" s="20" t="s">
        <v>55</v>
      </c>
      <c r="D22" s="35" t="s">
        <v>425</v>
      </c>
      <c r="E22" s="35">
        <v>0</v>
      </c>
    </row>
    <row r="23" spans="1:5">
      <c r="A23" s="35">
        <v>22</v>
      </c>
      <c r="B23" s="20" t="s">
        <v>391</v>
      </c>
      <c r="C23" s="20" t="s">
        <v>59</v>
      </c>
      <c r="D23" s="35" t="s">
        <v>425</v>
      </c>
      <c r="E23" s="35">
        <v>0</v>
      </c>
    </row>
    <row r="24" spans="1:5" ht="41.4">
      <c r="A24" s="35">
        <v>23</v>
      </c>
      <c r="B24" s="20" t="s">
        <v>459</v>
      </c>
      <c r="C24" s="20" t="s">
        <v>62</v>
      </c>
      <c r="D24" s="35" t="s">
        <v>425</v>
      </c>
      <c r="E24" s="35">
        <v>0</v>
      </c>
    </row>
    <row r="25" spans="1:5" ht="41.4">
      <c r="A25" s="35">
        <v>24</v>
      </c>
      <c r="B25" s="20" t="s">
        <v>460</v>
      </c>
      <c r="C25" s="20" t="s">
        <v>49</v>
      </c>
      <c r="D25" s="35" t="s">
        <v>425</v>
      </c>
      <c r="E25" s="35">
        <v>1</v>
      </c>
    </row>
    <row r="26" spans="1:5" ht="55.2">
      <c r="A26" s="35">
        <v>25</v>
      </c>
      <c r="B26" s="20" t="s">
        <v>394</v>
      </c>
      <c r="C26" s="20" t="s">
        <v>49</v>
      </c>
      <c r="D26" s="35" t="s">
        <v>425</v>
      </c>
      <c r="E26" s="35">
        <v>1</v>
      </c>
    </row>
    <row r="27" spans="1:5">
      <c r="A27" s="35">
        <v>26</v>
      </c>
      <c r="B27" s="20" t="s">
        <v>392</v>
      </c>
      <c r="C27" s="20" t="s">
        <v>62</v>
      </c>
      <c r="D27" s="35" t="s">
        <v>425</v>
      </c>
      <c r="E27" s="35">
        <v>0</v>
      </c>
    </row>
    <row r="28" spans="1:5" ht="409.6">
      <c r="A28" s="35">
        <v>27</v>
      </c>
      <c r="B28" s="20" t="s">
        <v>396</v>
      </c>
      <c r="C28" s="20" t="s">
        <v>49</v>
      </c>
      <c r="D28" s="35" t="s">
        <v>425</v>
      </c>
      <c r="E28" s="35">
        <v>1</v>
      </c>
    </row>
    <row r="29" spans="1:5" ht="138">
      <c r="A29" s="35">
        <v>28</v>
      </c>
      <c r="B29" s="20" t="s">
        <v>395</v>
      </c>
      <c r="C29" s="20" t="s">
        <v>51</v>
      </c>
      <c r="D29" s="35" t="s">
        <v>425</v>
      </c>
      <c r="E29" s="35">
        <v>0</v>
      </c>
    </row>
    <row r="30" spans="1:5" ht="248.4">
      <c r="A30" s="35">
        <v>29</v>
      </c>
      <c r="B30" s="20" t="s">
        <v>461</v>
      </c>
      <c r="C30" s="20" t="s">
        <v>51</v>
      </c>
      <c r="D30" s="35" t="s">
        <v>425</v>
      </c>
      <c r="E30" s="35">
        <v>0</v>
      </c>
    </row>
    <row r="31" spans="1:5" ht="27.6">
      <c r="A31" s="35">
        <v>30</v>
      </c>
      <c r="B31" s="20" t="s">
        <v>407</v>
      </c>
      <c r="C31" s="20" t="s">
        <v>51</v>
      </c>
      <c r="D31" s="35" t="s">
        <v>425</v>
      </c>
      <c r="E31" s="35">
        <v>0</v>
      </c>
    </row>
    <row r="32" spans="1:5" ht="69">
      <c r="A32" s="35">
        <v>31</v>
      </c>
      <c r="B32" s="20" t="s">
        <v>400</v>
      </c>
      <c r="C32" s="20" t="s">
        <v>49</v>
      </c>
      <c r="D32" s="35" t="s">
        <v>425</v>
      </c>
      <c r="E32" s="35">
        <v>1</v>
      </c>
    </row>
    <row r="33" spans="1:5" ht="82.8">
      <c r="A33" s="35">
        <v>32</v>
      </c>
      <c r="B33" s="20" t="s">
        <v>401</v>
      </c>
      <c r="C33" s="20" t="s">
        <v>49</v>
      </c>
      <c r="D33" s="35" t="s">
        <v>425</v>
      </c>
      <c r="E33" s="35">
        <v>1</v>
      </c>
    </row>
    <row r="34" spans="1:5" ht="27.6">
      <c r="A34" s="35">
        <v>33</v>
      </c>
      <c r="B34" s="20" t="s">
        <v>402</v>
      </c>
      <c r="C34" s="20" t="s">
        <v>49</v>
      </c>
      <c r="D34" s="35" t="s">
        <v>425</v>
      </c>
      <c r="E34" s="35">
        <v>1</v>
      </c>
    </row>
    <row r="35" spans="1:5" ht="41.4">
      <c r="A35" s="35">
        <v>34</v>
      </c>
      <c r="B35" s="20" t="s">
        <v>383</v>
      </c>
      <c r="C35" s="20" t="s">
        <v>53</v>
      </c>
      <c r="D35" s="35" t="s">
        <v>425</v>
      </c>
      <c r="E35" s="35">
        <v>0</v>
      </c>
    </row>
    <row r="36" spans="1:5" ht="96.6">
      <c r="A36" s="35">
        <v>35</v>
      </c>
      <c r="B36" s="20" t="s">
        <v>404</v>
      </c>
      <c r="C36" s="20" t="s">
        <v>60</v>
      </c>
      <c r="D36" s="35" t="s">
        <v>425</v>
      </c>
      <c r="E36" s="35">
        <v>2</v>
      </c>
    </row>
    <row r="37" spans="1:5" ht="179.4">
      <c r="A37" s="35">
        <v>36</v>
      </c>
      <c r="B37" s="20" t="s">
        <v>462</v>
      </c>
      <c r="C37" s="20" t="s">
        <v>49</v>
      </c>
      <c r="D37" s="35" t="s">
        <v>425</v>
      </c>
      <c r="E37" s="35">
        <v>1</v>
      </c>
    </row>
    <row r="38" spans="1:5" ht="165.6">
      <c r="A38" s="35">
        <v>37</v>
      </c>
      <c r="B38" s="20" t="s">
        <v>406</v>
      </c>
      <c r="C38" s="20" t="s">
        <v>378</v>
      </c>
      <c r="D38" s="35" t="s">
        <v>425</v>
      </c>
      <c r="E38" s="35">
        <v>1</v>
      </c>
    </row>
    <row r="39" spans="1:5" ht="69">
      <c r="A39" s="35">
        <v>38</v>
      </c>
      <c r="B39" s="20" t="s">
        <v>463</v>
      </c>
      <c r="C39" s="20" t="s">
        <v>53</v>
      </c>
      <c r="D39" s="35" t="s">
        <v>425</v>
      </c>
      <c r="E39" s="35">
        <v>0</v>
      </c>
    </row>
    <row r="40" spans="1:5" ht="55.2">
      <c r="A40" s="35">
        <v>39</v>
      </c>
      <c r="B40" s="20" t="s">
        <v>408</v>
      </c>
      <c r="C40" s="20" t="s">
        <v>49</v>
      </c>
      <c r="D40" s="35" t="s">
        <v>425</v>
      </c>
      <c r="E40" s="35">
        <v>1</v>
      </c>
    </row>
    <row r="41" spans="1:5" ht="220.8">
      <c r="A41" s="35">
        <v>40</v>
      </c>
      <c r="B41" s="20" t="s">
        <v>409</v>
      </c>
      <c r="C41" s="20" t="s">
        <v>49</v>
      </c>
      <c r="D41" s="35" t="s">
        <v>425</v>
      </c>
      <c r="E41" s="35">
        <v>1</v>
      </c>
    </row>
    <row r="42" spans="1:5" ht="55.2">
      <c r="A42" s="35">
        <v>41</v>
      </c>
      <c r="B42" s="20" t="s">
        <v>410</v>
      </c>
      <c r="C42" s="20" t="s">
        <v>49</v>
      </c>
      <c r="D42" s="35" t="s">
        <v>425</v>
      </c>
      <c r="E42" s="35">
        <v>1</v>
      </c>
    </row>
    <row r="43" spans="1:5" ht="27.6">
      <c r="A43" s="35">
        <v>42</v>
      </c>
      <c r="B43" s="20" t="s">
        <v>464</v>
      </c>
      <c r="C43" s="20" t="s">
        <v>49</v>
      </c>
      <c r="D43" s="35" t="s">
        <v>425</v>
      </c>
      <c r="E43" s="35">
        <v>1</v>
      </c>
    </row>
    <row r="44" spans="1:5" ht="276">
      <c r="A44" s="35">
        <v>43</v>
      </c>
      <c r="B44" s="20" t="s">
        <v>465</v>
      </c>
      <c r="C44" s="20" t="s">
        <v>378</v>
      </c>
      <c r="D44" s="35" t="s">
        <v>425</v>
      </c>
      <c r="E44" s="35">
        <v>1</v>
      </c>
    </row>
    <row r="45" spans="1:5" ht="55.2">
      <c r="A45" s="35">
        <v>44</v>
      </c>
      <c r="B45" s="20" t="s">
        <v>413</v>
      </c>
      <c r="C45" s="20" t="s">
        <v>49</v>
      </c>
      <c r="D45" s="35" t="s">
        <v>425</v>
      </c>
      <c r="E45" s="35">
        <v>1</v>
      </c>
    </row>
    <row r="46" spans="1:5" ht="41.4">
      <c r="A46" s="35">
        <v>45</v>
      </c>
      <c r="B46" s="20" t="s">
        <v>398</v>
      </c>
      <c r="C46" s="20" t="s">
        <v>53</v>
      </c>
      <c r="D46" s="35" t="s">
        <v>425</v>
      </c>
      <c r="E46" s="35">
        <v>0</v>
      </c>
    </row>
    <row r="47" spans="1:5" ht="124.2">
      <c r="A47" s="35">
        <v>46</v>
      </c>
      <c r="B47" s="20" t="s">
        <v>416</v>
      </c>
      <c r="C47" s="20" t="s">
        <v>49</v>
      </c>
      <c r="D47" s="35" t="s">
        <v>425</v>
      </c>
      <c r="E47" s="35">
        <v>1</v>
      </c>
    </row>
    <row r="48" spans="1:5" ht="69">
      <c r="A48" s="35">
        <v>47</v>
      </c>
      <c r="B48" s="20" t="s">
        <v>466</v>
      </c>
      <c r="C48" s="20" t="s">
        <v>49</v>
      </c>
      <c r="D48" s="35" t="s">
        <v>425</v>
      </c>
      <c r="E48" s="35">
        <v>1</v>
      </c>
    </row>
    <row r="49" spans="1:5" ht="124.2">
      <c r="A49" s="35">
        <v>48</v>
      </c>
      <c r="B49" s="20" t="s">
        <v>418</v>
      </c>
      <c r="C49" s="20" t="s">
        <v>60</v>
      </c>
      <c r="D49" s="35" t="s">
        <v>425</v>
      </c>
      <c r="E49" s="35">
        <v>2</v>
      </c>
    </row>
    <row r="50" spans="1:5" ht="27.6">
      <c r="A50" s="35">
        <v>49</v>
      </c>
      <c r="B50" s="20" t="s">
        <v>419</v>
      </c>
      <c r="C50" s="20" t="s">
        <v>53</v>
      </c>
      <c r="D50" s="35" t="s">
        <v>425</v>
      </c>
      <c r="E50" s="35">
        <v>0</v>
      </c>
    </row>
    <row r="51" spans="1:5" ht="289.8">
      <c r="A51" s="35">
        <v>50</v>
      </c>
      <c r="B51" s="20" t="s">
        <v>420</v>
      </c>
      <c r="C51" s="20" t="s">
        <v>49</v>
      </c>
      <c r="D51" s="35" t="s">
        <v>425</v>
      </c>
      <c r="E51" s="35">
        <v>1</v>
      </c>
    </row>
    <row r="52" spans="1:5" s="30" customFormat="1" ht="248.4">
      <c r="A52" s="35">
        <v>51</v>
      </c>
      <c r="B52" s="20" t="s">
        <v>467</v>
      </c>
      <c r="C52" s="20" t="s">
        <v>62</v>
      </c>
      <c r="D52" s="20" t="s">
        <v>426</v>
      </c>
      <c r="E52" s="35">
        <v>0</v>
      </c>
    </row>
    <row r="53" spans="1:5" s="30" customFormat="1" ht="69">
      <c r="A53" s="35">
        <v>52</v>
      </c>
      <c r="B53" s="20" t="s">
        <v>1</v>
      </c>
      <c r="C53" s="20" t="s">
        <v>66</v>
      </c>
      <c r="D53" s="20" t="s">
        <v>426</v>
      </c>
      <c r="E53" s="35">
        <v>0</v>
      </c>
    </row>
    <row r="54" spans="1:5" s="30" customFormat="1" ht="248.4">
      <c r="A54" s="35">
        <v>53</v>
      </c>
      <c r="B54" s="20" t="s">
        <v>468</v>
      </c>
      <c r="C54" s="20" t="s">
        <v>63</v>
      </c>
      <c r="D54" s="20" t="s">
        <v>426</v>
      </c>
      <c r="E54" s="35">
        <v>0</v>
      </c>
    </row>
    <row r="55" spans="1:5" s="30" customFormat="1" ht="138">
      <c r="A55" s="35">
        <v>54</v>
      </c>
      <c r="B55" s="20" t="s">
        <v>469</v>
      </c>
      <c r="C55" s="20" t="s">
        <v>58</v>
      </c>
      <c r="D55" s="20" t="s">
        <v>426</v>
      </c>
      <c r="E55" s="35">
        <v>0</v>
      </c>
    </row>
    <row r="56" spans="1:5" s="30" customFormat="1" ht="69">
      <c r="A56" s="35">
        <v>55</v>
      </c>
      <c r="B56" s="20" t="s">
        <v>3</v>
      </c>
      <c r="C56" s="20" t="s">
        <v>62</v>
      </c>
      <c r="D56" s="20" t="s">
        <v>426</v>
      </c>
      <c r="E56" s="35">
        <v>0</v>
      </c>
    </row>
    <row r="57" spans="1:5" s="30" customFormat="1" ht="69">
      <c r="A57" s="35">
        <v>56</v>
      </c>
      <c r="B57" s="20" t="s">
        <v>470</v>
      </c>
      <c r="C57" s="20" t="s">
        <v>56</v>
      </c>
      <c r="D57" s="20" t="s">
        <v>426</v>
      </c>
      <c r="E57" s="35">
        <v>0</v>
      </c>
    </row>
    <row r="58" spans="1:5" s="30" customFormat="1" ht="179.4">
      <c r="A58" s="35">
        <v>57</v>
      </c>
      <c r="B58" s="20" t="s">
        <v>471</v>
      </c>
      <c r="C58" s="20" t="s">
        <v>65</v>
      </c>
      <c r="D58" s="20" t="s">
        <v>426</v>
      </c>
      <c r="E58" s="20">
        <v>0</v>
      </c>
    </row>
    <row r="59" spans="1:5" s="30" customFormat="1" ht="41.4">
      <c r="A59" s="35">
        <v>58</v>
      </c>
      <c r="B59" s="20" t="s">
        <v>7</v>
      </c>
      <c r="C59" s="20" t="s">
        <v>62</v>
      </c>
      <c r="D59" s="20" t="s">
        <v>426</v>
      </c>
      <c r="E59" s="35">
        <v>0</v>
      </c>
    </row>
    <row r="60" spans="1:5" s="30" customFormat="1" ht="82.8">
      <c r="A60" s="35">
        <v>59</v>
      </c>
      <c r="B60" s="20" t="s">
        <v>8</v>
      </c>
      <c r="C60" s="20" t="s">
        <v>62</v>
      </c>
      <c r="D60" s="20" t="s">
        <v>426</v>
      </c>
      <c r="E60" s="35">
        <v>0</v>
      </c>
    </row>
    <row r="61" spans="1:5" s="30" customFormat="1" ht="55.2">
      <c r="A61" s="35">
        <v>60</v>
      </c>
      <c r="B61" s="20" t="s">
        <v>9</v>
      </c>
      <c r="C61" s="20" t="s">
        <v>63</v>
      </c>
      <c r="D61" s="20" t="s">
        <v>426</v>
      </c>
      <c r="E61" s="35">
        <v>0</v>
      </c>
    </row>
    <row r="62" spans="1:5" s="30" customFormat="1" ht="331.2">
      <c r="A62" s="35">
        <v>61</v>
      </c>
      <c r="B62" s="20" t="s">
        <v>472</v>
      </c>
      <c r="C62" s="20" t="s">
        <v>58</v>
      </c>
      <c r="D62" s="20" t="s">
        <v>426</v>
      </c>
      <c r="E62" s="35">
        <v>0</v>
      </c>
    </row>
    <row r="63" spans="1:5" s="30" customFormat="1" ht="96.6">
      <c r="A63" s="35">
        <v>62</v>
      </c>
      <c r="B63" s="20" t="s">
        <v>64</v>
      </c>
      <c r="C63" s="20" t="s">
        <v>61</v>
      </c>
      <c r="D63" s="20" t="s">
        <v>426</v>
      </c>
      <c r="E63" s="35">
        <v>0</v>
      </c>
    </row>
    <row r="64" spans="1:5" s="30" customFormat="1" ht="55.2">
      <c r="A64" s="35">
        <v>63</v>
      </c>
      <c r="B64" s="20" t="s">
        <v>11</v>
      </c>
      <c r="C64" s="20" t="s">
        <v>58</v>
      </c>
      <c r="D64" s="20" t="s">
        <v>426</v>
      </c>
      <c r="E64" s="35">
        <v>0</v>
      </c>
    </row>
    <row r="65" spans="1:5" s="30" customFormat="1" ht="55.2">
      <c r="A65" s="35">
        <v>64</v>
      </c>
      <c r="B65" s="20" t="s">
        <v>12</v>
      </c>
      <c r="C65" s="20" t="s">
        <v>62</v>
      </c>
      <c r="D65" s="20" t="s">
        <v>426</v>
      </c>
      <c r="E65" s="35">
        <v>0</v>
      </c>
    </row>
    <row r="66" spans="1:5" s="30" customFormat="1" ht="96.6">
      <c r="A66" s="35">
        <v>65</v>
      </c>
      <c r="B66" s="20" t="s">
        <v>473</v>
      </c>
      <c r="C66" s="20" t="s">
        <v>61</v>
      </c>
      <c r="D66" s="20" t="s">
        <v>426</v>
      </c>
      <c r="E66" s="35">
        <v>0</v>
      </c>
    </row>
    <row r="67" spans="1:5" s="30" customFormat="1" ht="96.6">
      <c r="A67" s="35">
        <v>66</v>
      </c>
      <c r="B67" s="20" t="s">
        <v>14</v>
      </c>
      <c r="C67" s="20" t="s">
        <v>61</v>
      </c>
      <c r="D67" s="20" t="s">
        <v>426</v>
      </c>
      <c r="E67" s="35">
        <v>0</v>
      </c>
    </row>
    <row r="68" spans="1:5" s="30" customFormat="1" ht="55.2">
      <c r="A68" s="35">
        <v>67</v>
      </c>
      <c r="B68" s="20" t="s">
        <v>474</v>
      </c>
      <c r="C68" s="20" t="s">
        <v>55</v>
      </c>
      <c r="D68" s="20" t="s">
        <v>426</v>
      </c>
      <c r="E68" s="35">
        <v>0</v>
      </c>
    </row>
    <row r="69" spans="1:5" s="30" customFormat="1" ht="27.6">
      <c r="A69" s="35">
        <v>68</v>
      </c>
      <c r="B69" s="20" t="s">
        <v>16</v>
      </c>
      <c r="C69" s="20" t="s">
        <v>55</v>
      </c>
      <c r="D69" s="20" t="s">
        <v>426</v>
      </c>
      <c r="E69" s="35">
        <v>0</v>
      </c>
    </row>
    <row r="70" spans="1:5" s="30" customFormat="1" ht="82.8">
      <c r="A70" s="35">
        <v>69</v>
      </c>
      <c r="B70" s="20" t="s">
        <v>17</v>
      </c>
      <c r="C70" s="20" t="s">
        <v>61</v>
      </c>
      <c r="D70" s="20" t="s">
        <v>426</v>
      </c>
      <c r="E70" s="35">
        <v>0</v>
      </c>
    </row>
    <row r="71" spans="1:5" s="30" customFormat="1" ht="69">
      <c r="A71" s="35">
        <v>70</v>
      </c>
      <c r="B71" s="20" t="s">
        <v>18</v>
      </c>
      <c r="C71" s="20" t="s">
        <v>49</v>
      </c>
      <c r="D71" s="20" t="s">
        <v>426</v>
      </c>
      <c r="E71" s="35">
        <v>1</v>
      </c>
    </row>
    <row r="72" spans="1:5" s="30" customFormat="1" ht="179.4">
      <c r="A72" s="35">
        <v>71</v>
      </c>
      <c r="B72" s="20" t="s">
        <v>19</v>
      </c>
      <c r="C72" s="20" t="s">
        <v>60</v>
      </c>
      <c r="D72" s="20" t="s">
        <v>426</v>
      </c>
      <c r="E72" s="35">
        <v>2</v>
      </c>
    </row>
    <row r="73" spans="1:5" s="30" customFormat="1" ht="41.4">
      <c r="A73" s="35">
        <v>72</v>
      </c>
      <c r="B73" s="20" t="s">
        <v>20</v>
      </c>
      <c r="C73" s="20" t="s">
        <v>50</v>
      </c>
      <c r="D73" s="20" t="s">
        <v>426</v>
      </c>
      <c r="E73" s="35">
        <v>0</v>
      </c>
    </row>
    <row r="74" spans="1:5" s="30" customFormat="1" ht="69">
      <c r="A74" s="35">
        <v>73</v>
      </c>
      <c r="B74" s="20" t="s">
        <v>21</v>
      </c>
      <c r="C74" s="20" t="s">
        <v>49</v>
      </c>
      <c r="D74" s="20" t="s">
        <v>426</v>
      </c>
      <c r="E74" s="35">
        <v>1</v>
      </c>
    </row>
    <row r="75" spans="1:5" s="30" customFormat="1" ht="41.4">
      <c r="A75" s="35">
        <v>74</v>
      </c>
      <c r="B75" s="20" t="s">
        <v>22</v>
      </c>
      <c r="C75" s="20" t="s">
        <v>51</v>
      </c>
      <c r="D75" s="20" t="s">
        <v>426</v>
      </c>
      <c r="E75" s="35">
        <v>0</v>
      </c>
    </row>
    <row r="76" spans="1:5" s="30" customFormat="1" ht="14.4">
      <c r="A76" s="35">
        <v>75</v>
      </c>
      <c r="B76" s="20" t="s">
        <v>23</v>
      </c>
      <c r="C76" s="20" t="s">
        <v>59</v>
      </c>
      <c r="D76" s="20" t="s">
        <v>426</v>
      </c>
      <c r="E76" s="35">
        <v>0</v>
      </c>
    </row>
    <row r="77" spans="1:5" s="30" customFormat="1" ht="27.6">
      <c r="A77" s="35">
        <v>76</v>
      </c>
      <c r="B77" s="20" t="s">
        <v>24</v>
      </c>
      <c r="C77" s="20" t="s">
        <v>58</v>
      </c>
      <c r="D77" s="20" t="s">
        <v>426</v>
      </c>
      <c r="E77" s="35">
        <v>0</v>
      </c>
    </row>
    <row r="78" spans="1:5" s="30" customFormat="1" ht="110.4">
      <c r="A78" s="35">
        <v>77</v>
      </c>
      <c r="B78" s="20" t="s">
        <v>25</v>
      </c>
      <c r="C78" s="20" t="s">
        <v>56</v>
      </c>
      <c r="D78" s="20" t="s">
        <v>426</v>
      </c>
      <c r="E78" s="35">
        <v>0</v>
      </c>
    </row>
    <row r="79" spans="1:5" s="30" customFormat="1" ht="55.2">
      <c r="A79" s="35">
        <v>78</v>
      </c>
      <c r="B79" s="20" t="s">
        <v>26</v>
      </c>
      <c r="C79" s="20" t="s">
        <v>57</v>
      </c>
      <c r="D79" s="20" t="s">
        <v>426</v>
      </c>
      <c r="E79" s="20">
        <v>4</v>
      </c>
    </row>
    <row r="80" spans="1:5" s="30" customFormat="1" ht="138">
      <c r="A80" s="35">
        <v>79</v>
      </c>
      <c r="B80" s="20" t="s">
        <v>27</v>
      </c>
      <c r="C80" s="20" t="s">
        <v>56</v>
      </c>
      <c r="D80" s="20" t="s">
        <v>426</v>
      </c>
      <c r="E80" s="35">
        <v>0</v>
      </c>
    </row>
    <row r="81" spans="1:5" s="30" customFormat="1" ht="27.6">
      <c r="A81" s="35">
        <v>80</v>
      </c>
      <c r="B81" s="20" t="s">
        <v>28</v>
      </c>
      <c r="C81" s="20" t="s">
        <v>49</v>
      </c>
      <c r="D81" s="20" t="s">
        <v>426</v>
      </c>
      <c r="E81" s="35">
        <v>1</v>
      </c>
    </row>
    <row r="82" spans="1:5" s="30" customFormat="1" ht="14.4">
      <c r="A82" s="35">
        <v>81</v>
      </c>
      <c r="B82" s="20" t="s">
        <v>29</v>
      </c>
      <c r="C82" s="20" t="s">
        <v>55</v>
      </c>
      <c r="D82" s="20" t="s">
        <v>426</v>
      </c>
      <c r="E82" s="35">
        <v>0</v>
      </c>
    </row>
    <row r="83" spans="1:5" s="30" customFormat="1" ht="96.6">
      <c r="A83" s="35">
        <v>82</v>
      </c>
      <c r="B83" s="20" t="s">
        <v>475</v>
      </c>
      <c r="C83" s="20" t="s">
        <v>53</v>
      </c>
      <c r="D83" s="20" t="s">
        <v>426</v>
      </c>
      <c r="E83" s="35">
        <v>0</v>
      </c>
    </row>
    <row r="84" spans="1:5" s="30" customFormat="1" ht="41.4">
      <c r="A84" s="35">
        <v>83</v>
      </c>
      <c r="B84" s="20" t="s">
        <v>476</v>
      </c>
      <c r="C84" s="20" t="s">
        <v>49</v>
      </c>
      <c r="D84" s="20" t="s">
        <v>426</v>
      </c>
      <c r="E84" s="35">
        <v>1</v>
      </c>
    </row>
    <row r="85" spans="1:5" s="30" customFormat="1" ht="27.6">
      <c r="A85" s="35">
        <v>84</v>
      </c>
      <c r="B85" s="20" t="s">
        <v>32</v>
      </c>
      <c r="C85" s="20" t="s">
        <v>54</v>
      </c>
      <c r="D85" s="20" t="s">
        <v>426</v>
      </c>
      <c r="E85" s="35">
        <v>3</v>
      </c>
    </row>
    <row r="86" spans="1:5" s="30" customFormat="1" ht="41.4">
      <c r="A86" s="35">
        <v>85</v>
      </c>
      <c r="B86" s="20" t="s">
        <v>477</v>
      </c>
      <c r="C86" s="20" t="s">
        <v>52</v>
      </c>
      <c r="D86" s="20" t="s">
        <v>426</v>
      </c>
      <c r="E86" s="35">
        <v>0</v>
      </c>
    </row>
    <row r="87" spans="1:5" s="30" customFormat="1" ht="138">
      <c r="A87" s="35">
        <v>86</v>
      </c>
      <c r="B87" s="20" t="s">
        <v>478</v>
      </c>
      <c r="C87" s="20" t="s">
        <v>52</v>
      </c>
      <c r="D87" s="20" t="s">
        <v>426</v>
      </c>
      <c r="E87" s="35">
        <v>0</v>
      </c>
    </row>
    <row r="88" spans="1:5" s="30" customFormat="1" ht="55.2">
      <c r="A88" s="35">
        <v>87</v>
      </c>
      <c r="B88" s="20" t="s">
        <v>35</v>
      </c>
      <c r="C88" s="20" t="s">
        <v>50</v>
      </c>
      <c r="D88" s="20" t="s">
        <v>426</v>
      </c>
      <c r="E88" s="35">
        <v>0</v>
      </c>
    </row>
    <row r="89" spans="1:5" s="30" customFormat="1" ht="55.2">
      <c r="A89" s="35">
        <v>88</v>
      </c>
      <c r="B89" s="20" t="s">
        <v>36</v>
      </c>
      <c r="C89" s="20" t="s">
        <v>50</v>
      </c>
      <c r="D89" s="20" t="s">
        <v>426</v>
      </c>
      <c r="E89" s="35">
        <v>0</v>
      </c>
    </row>
    <row r="90" spans="1:5" s="30" customFormat="1" ht="55.2">
      <c r="A90" s="35">
        <v>89</v>
      </c>
      <c r="B90" s="20" t="s">
        <v>479</v>
      </c>
      <c r="C90" s="20" t="s">
        <v>49</v>
      </c>
      <c r="D90" s="20" t="s">
        <v>426</v>
      </c>
      <c r="E90" s="35">
        <v>1</v>
      </c>
    </row>
    <row r="91" spans="1:5" s="30" customFormat="1" ht="55.2">
      <c r="A91" s="35">
        <v>90</v>
      </c>
      <c r="B91" s="20" t="s">
        <v>38</v>
      </c>
      <c r="C91" s="20" t="s">
        <v>50</v>
      </c>
      <c r="D91" s="20" t="s">
        <v>426</v>
      </c>
      <c r="E91" s="35">
        <v>0</v>
      </c>
    </row>
    <row r="92" spans="1:5" s="30" customFormat="1" ht="124.2">
      <c r="A92" s="35">
        <v>91</v>
      </c>
      <c r="B92" s="20" t="s">
        <v>480</v>
      </c>
      <c r="C92" s="20" t="s">
        <v>53</v>
      </c>
      <c r="D92" s="20" t="s">
        <v>426</v>
      </c>
      <c r="E92" s="35">
        <v>0</v>
      </c>
    </row>
    <row r="93" spans="1:5" s="30" customFormat="1" ht="96.6">
      <c r="A93" s="35">
        <v>92</v>
      </c>
      <c r="B93" s="20" t="s">
        <v>40</v>
      </c>
      <c r="C93" s="20" t="s">
        <v>49</v>
      </c>
      <c r="D93" s="20" t="s">
        <v>426</v>
      </c>
      <c r="E93" s="35">
        <v>1</v>
      </c>
    </row>
    <row r="94" spans="1:5" s="30" customFormat="1" ht="110.4">
      <c r="A94" s="35">
        <v>93</v>
      </c>
      <c r="B94" s="20" t="s">
        <v>481</v>
      </c>
      <c r="C94" s="20" t="s">
        <v>50</v>
      </c>
      <c r="D94" s="20" t="s">
        <v>426</v>
      </c>
      <c r="E94" s="35">
        <v>0</v>
      </c>
    </row>
    <row r="95" spans="1:5" s="30" customFormat="1" ht="41.4">
      <c r="A95" s="35">
        <v>94</v>
      </c>
      <c r="B95" s="20" t="s">
        <v>42</v>
      </c>
      <c r="C95" s="20" t="s">
        <v>53</v>
      </c>
      <c r="D95" s="20" t="s">
        <v>426</v>
      </c>
      <c r="E95" s="35">
        <v>0</v>
      </c>
    </row>
    <row r="96" spans="1:5" s="30" customFormat="1" ht="96.6">
      <c r="A96" s="35">
        <v>95</v>
      </c>
      <c r="B96" s="20" t="s">
        <v>43</v>
      </c>
      <c r="C96" s="20" t="s">
        <v>52</v>
      </c>
      <c r="D96" s="20" t="s">
        <v>426</v>
      </c>
      <c r="E96" s="35">
        <v>0</v>
      </c>
    </row>
    <row r="97" spans="1:5" s="30" customFormat="1" ht="69">
      <c r="A97" s="35">
        <v>96</v>
      </c>
      <c r="B97" s="20" t="s">
        <v>44</v>
      </c>
      <c r="C97" s="20" t="s">
        <v>49</v>
      </c>
      <c r="D97" s="20" t="s">
        <v>426</v>
      </c>
      <c r="E97" s="35">
        <v>1</v>
      </c>
    </row>
    <row r="98" spans="1:5" s="30" customFormat="1" ht="27.6">
      <c r="A98" s="35">
        <v>97</v>
      </c>
      <c r="B98" s="20" t="s">
        <v>45</v>
      </c>
      <c r="C98" s="20" t="s">
        <v>51</v>
      </c>
      <c r="D98" s="20" t="s">
        <v>426</v>
      </c>
      <c r="E98" s="35">
        <v>0</v>
      </c>
    </row>
    <row r="99" spans="1:5" s="30" customFormat="1" ht="82.8">
      <c r="A99" s="35">
        <v>98</v>
      </c>
      <c r="B99" s="20" t="s">
        <v>46</v>
      </c>
      <c r="C99" s="20" t="s">
        <v>49</v>
      </c>
      <c r="D99" s="20" t="s">
        <v>426</v>
      </c>
      <c r="E99" s="35">
        <v>1</v>
      </c>
    </row>
    <row r="100" spans="1:5" s="30" customFormat="1" ht="27.6">
      <c r="A100" s="35">
        <v>99</v>
      </c>
      <c r="B100" s="20" t="s">
        <v>47</v>
      </c>
      <c r="C100" s="20" t="s">
        <v>50</v>
      </c>
      <c r="D100" s="20" t="s">
        <v>426</v>
      </c>
      <c r="E100" s="35">
        <v>0</v>
      </c>
    </row>
    <row r="101" spans="1:5" s="30" customFormat="1" ht="55.2">
      <c r="A101" s="35">
        <v>100</v>
      </c>
      <c r="B101" s="20" t="s">
        <v>48</v>
      </c>
      <c r="C101" s="20" t="s">
        <v>49</v>
      </c>
      <c r="D101" s="20" t="s">
        <v>426</v>
      </c>
      <c r="E101" s="35">
        <v>1</v>
      </c>
    </row>
    <row r="102" spans="1:5" s="20" customFormat="1" ht="69">
      <c r="A102" s="35">
        <v>101</v>
      </c>
      <c r="B102" s="20" t="s">
        <v>482</v>
      </c>
      <c r="C102" s="20" t="s">
        <v>62</v>
      </c>
      <c r="D102" s="20" t="s">
        <v>427</v>
      </c>
      <c r="E102" s="35">
        <v>0</v>
      </c>
    </row>
    <row r="103" spans="1:5" s="20" customFormat="1" ht="27.6">
      <c r="A103" s="35">
        <v>102</v>
      </c>
      <c r="B103" s="20" t="s">
        <v>68</v>
      </c>
      <c r="C103" s="20" t="s">
        <v>62</v>
      </c>
      <c r="D103" s="20" t="s">
        <v>427</v>
      </c>
      <c r="E103" s="35">
        <v>0</v>
      </c>
    </row>
    <row r="104" spans="1:5" s="20" customFormat="1" ht="138">
      <c r="A104" s="35">
        <v>103</v>
      </c>
      <c r="B104" s="20" t="s">
        <v>483</v>
      </c>
      <c r="C104" s="20" t="s">
        <v>65</v>
      </c>
      <c r="D104" s="20" t="s">
        <v>427</v>
      </c>
      <c r="E104" s="20">
        <v>0</v>
      </c>
    </row>
    <row r="105" spans="1:5" s="20" customFormat="1" ht="151.80000000000001">
      <c r="A105" s="35">
        <v>104</v>
      </c>
      <c r="B105" s="20" t="s">
        <v>484</v>
      </c>
      <c r="C105" s="20" t="s">
        <v>65</v>
      </c>
      <c r="D105" s="20" t="s">
        <v>427</v>
      </c>
      <c r="E105" s="20">
        <v>0</v>
      </c>
    </row>
    <row r="106" spans="1:5" s="20" customFormat="1" ht="55.2">
      <c r="A106" s="35">
        <v>105</v>
      </c>
      <c r="B106" s="20" t="s">
        <v>485</v>
      </c>
      <c r="C106" s="20" t="s">
        <v>63</v>
      </c>
      <c r="D106" s="20" t="s">
        <v>427</v>
      </c>
      <c r="E106" s="35">
        <v>0</v>
      </c>
    </row>
    <row r="107" spans="1:5" s="20" customFormat="1" ht="110.4">
      <c r="A107" s="35">
        <v>106</v>
      </c>
      <c r="B107" s="20" t="s">
        <v>486</v>
      </c>
      <c r="C107" s="20" t="s">
        <v>58</v>
      </c>
      <c r="D107" s="20" t="s">
        <v>427</v>
      </c>
      <c r="E107" s="35">
        <v>0</v>
      </c>
    </row>
    <row r="108" spans="1:5" s="20" customFormat="1" ht="82.8">
      <c r="A108" s="35">
        <v>107</v>
      </c>
      <c r="B108" s="20" t="s">
        <v>73</v>
      </c>
      <c r="C108" s="20" t="s">
        <v>59</v>
      </c>
      <c r="D108" s="20" t="s">
        <v>427</v>
      </c>
      <c r="E108" s="35">
        <v>0</v>
      </c>
    </row>
    <row r="109" spans="1:5" s="20" customFormat="1" ht="96.6">
      <c r="A109" s="35">
        <v>108</v>
      </c>
      <c r="B109" s="20" t="s">
        <v>74</v>
      </c>
      <c r="C109" s="20" t="s">
        <v>62</v>
      </c>
      <c r="D109" s="20" t="s">
        <v>427</v>
      </c>
      <c r="E109" s="35">
        <v>0</v>
      </c>
    </row>
    <row r="110" spans="1:5" s="20" customFormat="1" ht="82.8">
      <c r="A110" s="35">
        <v>109</v>
      </c>
      <c r="B110" s="20" t="s">
        <v>75</v>
      </c>
      <c r="C110" s="20" t="s">
        <v>63</v>
      </c>
      <c r="D110" s="20" t="s">
        <v>427</v>
      </c>
      <c r="E110" s="35">
        <v>0</v>
      </c>
    </row>
    <row r="111" spans="1:5" s="20" customFormat="1" ht="27.6">
      <c r="A111" s="35">
        <v>110</v>
      </c>
      <c r="B111" s="20" t="s">
        <v>487</v>
      </c>
      <c r="C111" s="20" t="s">
        <v>62</v>
      </c>
      <c r="D111" s="20" t="s">
        <v>427</v>
      </c>
      <c r="E111" s="35">
        <v>0</v>
      </c>
    </row>
    <row r="112" spans="1:5" s="20" customFormat="1" ht="124.2">
      <c r="A112" s="35">
        <v>111</v>
      </c>
      <c r="B112" s="20" t="s">
        <v>488</v>
      </c>
      <c r="C112" s="20" t="s">
        <v>52</v>
      </c>
      <c r="D112" s="20" t="s">
        <v>427</v>
      </c>
      <c r="E112" s="35">
        <v>0</v>
      </c>
    </row>
    <row r="113" spans="1:5" s="20" customFormat="1" ht="69">
      <c r="A113" s="35">
        <v>112</v>
      </c>
      <c r="B113" s="20" t="s">
        <v>489</v>
      </c>
      <c r="C113" s="20" t="s">
        <v>58</v>
      </c>
      <c r="D113" s="20" t="s">
        <v>427</v>
      </c>
      <c r="E113" s="35">
        <v>0</v>
      </c>
    </row>
    <row r="114" spans="1:5" s="20" customFormat="1" ht="69">
      <c r="A114" s="35">
        <v>113</v>
      </c>
      <c r="B114" s="20" t="s">
        <v>79</v>
      </c>
      <c r="C114" s="20" t="s">
        <v>59</v>
      </c>
      <c r="D114" s="20" t="s">
        <v>427</v>
      </c>
      <c r="E114" s="35">
        <v>0</v>
      </c>
    </row>
    <row r="115" spans="1:5" s="20" customFormat="1" ht="27.6">
      <c r="A115" s="35">
        <v>114</v>
      </c>
      <c r="B115" s="20" t="s">
        <v>80</v>
      </c>
      <c r="C115" s="20" t="s">
        <v>58</v>
      </c>
      <c r="D115" s="20" t="s">
        <v>427</v>
      </c>
      <c r="E115" s="35">
        <v>0</v>
      </c>
    </row>
    <row r="116" spans="1:5" s="20" customFormat="1" ht="138">
      <c r="A116" s="35">
        <v>115</v>
      </c>
      <c r="B116" s="20" t="s">
        <v>490</v>
      </c>
      <c r="C116" s="20" t="s">
        <v>61</v>
      </c>
      <c r="D116" s="20" t="s">
        <v>427</v>
      </c>
      <c r="E116" s="35">
        <v>0</v>
      </c>
    </row>
    <row r="117" spans="1:5" s="20" customFormat="1" ht="82.8">
      <c r="A117" s="35">
        <v>116</v>
      </c>
      <c r="B117" s="20" t="s">
        <v>491</v>
      </c>
      <c r="C117" s="20" t="s">
        <v>58</v>
      </c>
      <c r="D117" s="20" t="s">
        <v>427</v>
      </c>
      <c r="E117" s="35">
        <v>0</v>
      </c>
    </row>
    <row r="118" spans="1:5" s="20" customFormat="1" ht="165.6">
      <c r="A118" s="35">
        <v>117</v>
      </c>
      <c r="B118" s="20" t="s">
        <v>83</v>
      </c>
      <c r="C118" s="20" t="s">
        <v>55</v>
      </c>
      <c r="D118" s="20" t="s">
        <v>427</v>
      </c>
      <c r="E118" s="35">
        <v>0</v>
      </c>
    </row>
    <row r="119" spans="1:5" s="20" customFormat="1" ht="41.4">
      <c r="A119" s="35">
        <v>118</v>
      </c>
      <c r="B119" s="20" t="s">
        <v>84</v>
      </c>
      <c r="C119" s="20" t="s">
        <v>63</v>
      </c>
      <c r="D119" s="20" t="s">
        <v>427</v>
      </c>
      <c r="E119" s="35">
        <v>0</v>
      </c>
    </row>
    <row r="120" spans="1:5" s="20" customFormat="1" ht="27.6">
      <c r="A120" s="35">
        <v>119</v>
      </c>
      <c r="B120" s="20" t="s">
        <v>85</v>
      </c>
      <c r="C120" s="20" t="s">
        <v>62</v>
      </c>
      <c r="D120" s="20" t="s">
        <v>427</v>
      </c>
      <c r="E120" s="35">
        <v>0</v>
      </c>
    </row>
    <row r="121" spans="1:5" s="20" customFormat="1" ht="69">
      <c r="A121" s="35">
        <v>120</v>
      </c>
      <c r="B121" s="20" t="s">
        <v>492</v>
      </c>
      <c r="C121" s="20" t="s">
        <v>62</v>
      </c>
      <c r="D121" s="20" t="s">
        <v>427</v>
      </c>
      <c r="E121" s="35">
        <v>0</v>
      </c>
    </row>
    <row r="122" spans="1:5" s="20" customFormat="1" ht="96.6">
      <c r="A122" s="35">
        <v>121</v>
      </c>
      <c r="B122" s="20" t="s">
        <v>493</v>
      </c>
      <c r="C122" s="20" t="s">
        <v>62</v>
      </c>
      <c r="D122" s="20" t="s">
        <v>427</v>
      </c>
      <c r="E122" s="35">
        <v>0</v>
      </c>
    </row>
    <row r="123" spans="1:5" s="20" customFormat="1" ht="27.6">
      <c r="A123" s="35">
        <v>122</v>
      </c>
      <c r="B123" s="20" t="s">
        <v>88</v>
      </c>
      <c r="C123" s="20" t="s">
        <v>63</v>
      </c>
      <c r="D123" s="20" t="s">
        <v>427</v>
      </c>
      <c r="E123" s="35">
        <v>0</v>
      </c>
    </row>
    <row r="124" spans="1:5" s="20" customFormat="1" ht="82.8">
      <c r="A124" s="35">
        <v>123</v>
      </c>
      <c r="B124" s="20" t="s">
        <v>89</v>
      </c>
      <c r="C124" s="20" t="s">
        <v>63</v>
      </c>
      <c r="D124" s="20" t="s">
        <v>427</v>
      </c>
      <c r="E124" s="35">
        <v>0</v>
      </c>
    </row>
    <row r="125" spans="1:5" s="20" customFormat="1" ht="82.8">
      <c r="A125" s="35">
        <v>124</v>
      </c>
      <c r="B125" s="20" t="s">
        <v>494</v>
      </c>
      <c r="C125" s="20" t="s">
        <v>59</v>
      </c>
      <c r="D125" s="20" t="s">
        <v>427</v>
      </c>
      <c r="E125" s="35">
        <v>0</v>
      </c>
    </row>
    <row r="126" spans="1:5" s="20" customFormat="1" ht="41.4">
      <c r="A126" s="35">
        <v>125</v>
      </c>
      <c r="B126" s="20" t="s">
        <v>495</v>
      </c>
      <c r="C126" s="20" t="s">
        <v>61</v>
      </c>
      <c r="D126" s="20" t="s">
        <v>427</v>
      </c>
      <c r="E126" s="35">
        <v>0</v>
      </c>
    </row>
    <row r="127" spans="1:5" s="20" customFormat="1" ht="55.2">
      <c r="A127" s="35">
        <v>126</v>
      </c>
      <c r="B127" s="20" t="s">
        <v>92</v>
      </c>
      <c r="C127" s="20" t="s">
        <v>55</v>
      </c>
      <c r="D127" s="20" t="s">
        <v>427</v>
      </c>
      <c r="E127" s="35">
        <v>0</v>
      </c>
    </row>
    <row r="128" spans="1:5" s="20" customFormat="1" ht="55.2">
      <c r="A128" s="35">
        <v>127</v>
      </c>
      <c r="B128" s="20" t="s">
        <v>93</v>
      </c>
      <c r="C128" s="20" t="s">
        <v>55</v>
      </c>
      <c r="D128" s="20" t="s">
        <v>427</v>
      </c>
      <c r="E128" s="35">
        <v>0</v>
      </c>
    </row>
    <row r="129" spans="1:5" s="20" customFormat="1" ht="27.6">
      <c r="A129" s="35">
        <v>128</v>
      </c>
      <c r="B129" s="20" t="s">
        <v>94</v>
      </c>
      <c r="C129" s="20" t="s">
        <v>59</v>
      </c>
      <c r="D129" s="20" t="s">
        <v>427</v>
      </c>
      <c r="E129" s="35">
        <v>0</v>
      </c>
    </row>
    <row r="130" spans="1:5" s="20" customFormat="1" ht="41.4">
      <c r="A130" s="35">
        <v>129</v>
      </c>
      <c r="B130" s="20" t="s">
        <v>95</v>
      </c>
      <c r="C130" s="20" t="s">
        <v>58</v>
      </c>
      <c r="D130" s="20" t="s">
        <v>427</v>
      </c>
      <c r="E130" s="35">
        <v>0</v>
      </c>
    </row>
    <row r="131" spans="1:5" s="20" customFormat="1" ht="82.8">
      <c r="A131" s="35">
        <v>130</v>
      </c>
      <c r="B131" s="20" t="s">
        <v>96</v>
      </c>
      <c r="C131" s="20" t="s">
        <v>58</v>
      </c>
      <c r="D131" s="20" t="s">
        <v>427</v>
      </c>
      <c r="E131" s="35">
        <v>0</v>
      </c>
    </row>
    <row r="132" spans="1:5" s="20" customFormat="1" ht="110.4">
      <c r="A132" s="35">
        <v>131</v>
      </c>
      <c r="B132" s="20" t="s">
        <v>496</v>
      </c>
      <c r="C132" s="20" t="s">
        <v>60</v>
      </c>
      <c r="D132" s="20" t="s">
        <v>427</v>
      </c>
      <c r="E132" s="35">
        <v>2</v>
      </c>
    </row>
    <row r="133" spans="1:5" s="20" customFormat="1" ht="27.6">
      <c r="A133" s="35">
        <v>132</v>
      </c>
      <c r="B133" s="20" t="s">
        <v>98</v>
      </c>
      <c r="C133" s="20" t="s">
        <v>63</v>
      </c>
      <c r="D133" s="20" t="s">
        <v>427</v>
      </c>
      <c r="E133" s="35">
        <v>0</v>
      </c>
    </row>
    <row r="134" spans="1:5" s="20" customFormat="1">
      <c r="A134" s="35">
        <v>133</v>
      </c>
      <c r="B134" s="20" t="s">
        <v>99</v>
      </c>
      <c r="C134" s="20" t="s">
        <v>58</v>
      </c>
      <c r="D134" s="20" t="s">
        <v>427</v>
      </c>
      <c r="E134" s="35">
        <v>0</v>
      </c>
    </row>
    <row r="135" spans="1:5" s="20" customFormat="1" ht="69">
      <c r="A135" s="35">
        <v>134</v>
      </c>
      <c r="B135" s="20" t="s">
        <v>100</v>
      </c>
      <c r="C135" s="20" t="s">
        <v>58</v>
      </c>
      <c r="D135" s="20" t="s">
        <v>427</v>
      </c>
      <c r="E135" s="35">
        <v>0</v>
      </c>
    </row>
    <row r="136" spans="1:5" s="20" customFormat="1" ht="27.6">
      <c r="A136" s="35">
        <v>135</v>
      </c>
      <c r="B136" s="20" t="s">
        <v>101</v>
      </c>
      <c r="C136" s="20" t="s">
        <v>63</v>
      </c>
      <c r="D136" s="20" t="s">
        <v>427</v>
      </c>
      <c r="E136" s="35">
        <v>0</v>
      </c>
    </row>
    <row r="137" spans="1:5" s="20" customFormat="1" ht="27.6">
      <c r="A137" s="35">
        <v>136</v>
      </c>
      <c r="B137" s="20" t="s">
        <v>102</v>
      </c>
      <c r="C137" s="20" t="s">
        <v>63</v>
      </c>
      <c r="D137" s="20" t="s">
        <v>427</v>
      </c>
      <c r="E137" s="35">
        <v>0</v>
      </c>
    </row>
    <row r="138" spans="1:5" s="20" customFormat="1" ht="55.2">
      <c r="A138" s="35">
        <v>137</v>
      </c>
      <c r="B138" s="20" t="s">
        <v>103</v>
      </c>
      <c r="C138" s="20" t="s">
        <v>54</v>
      </c>
      <c r="D138" s="20" t="s">
        <v>427</v>
      </c>
      <c r="E138" s="35">
        <v>3</v>
      </c>
    </row>
    <row r="139" spans="1:5" s="20" customFormat="1" ht="27.6">
      <c r="A139" s="35">
        <v>138</v>
      </c>
      <c r="B139" s="20" t="s">
        <v>104</v>
      </c>
      <c r="C139" s="20" t="s">
        <v>59</v>
      </c>
      <c r="D139" s="20" t="s">
        <v>427</v>
      </c>
      <c r="E139" s="35">
        <v>0</v>
      </c>
    </row>
    <row r="140" spans="1:5" s="20" customFormat="1" ht="27.6">
      <c r="A140" s="35">
        <v>139</v>
      </c>
      <c r="B140" s="20" t="s">
        <v>105</v>
      </c>
      <c r="C140" s="20" t="s">
        <v>59</v>
      </c>
      <c r="D140" s="20" t="s">
        <v>427</v>
      </c>
      <c r="E140" s="35">
        <v>0</v>
      </c>
    </row>
    <row r="141" spans="1:5" s="20" customFormat="1" ht="27.6">
      <c r="A141" s="35">
        <v>140</v>
      </c>
      <c r="B141" s="20" t="s">
        <v>106</v>
      </c>
      <c r="C141" s="20" t="s">
        <v>58</v>
      </c>
      <c r="D141" s="20" t="s">
        <v>427</v>
      </c>
      <c r="E141" s="35">
        <v>0</v>
      </c>
    </row>
    <row r="142" spans="1:5" s="20" customFormat="1" ht="69">
      <c r="A142" s="35">
        <v>141</v>
      </c>
      <c r="B142" s="20" t="s">
        <v>107</v>
      </c>
      <c r="C142" s="20" t="s">
        <v>59</v>
      </c>
      <c r="D142" s="20" t="s">
        <v>427</v>
      </c>
      <c r="E142" s="35">
        <v>0</v>
      </c>
    </row>
    <row r="143" spans="1:5" s="20" customFormat="1" ht="27.6">
      <c r="A143" s="35">
        <v>142</v>
      </c>
      <c r="B143" s="20" t="s">
        <v>108</v>
      </c>
      <c r="C143" s="20" t="s">
        <v>62</v>
      </c>
      <c r="D143" s="20" t="s">
        <v>427</v>
      </c>
      <c r="E143" s="35">
        <v>0</v>
      </c>
    </row>
    <row r="144" spans="1:5" s="20" customFormat="1" ht="27.6">
      <c r="A144" s="35">
        <v>143</v>
      </c>
      <c r="B144" s="20" t="s">
        <v>109</v>
      </c>
      <c r="C144" s="20" t="s">
        <v>58</v>
      </c>
      <c r="D144" s="20" t="s">
        <v>427</v>
      </c>
      <c r="E144" s="35">
        <v>0</v>
      </c>
    </row>
    <row r="145" spans="1:5" s="20" customFormat="1" ht="55.2">
      <c r="A145" s="35">
        <v>144</v>
      </c>
      <c r="B145" s="20" t="s">
        <v>110</v>
      </c>
      <c r="C145" s="20" t="s">
        <v>61</v>
      </c>
      <c r="D145" s="20" t="s">
        <v>427</v>
      </c>
      <c r="E145" s="35">
        <v>0</v>
      </c>
    </row>
    <row r="146" spans="1:5" s="20" customFormat="1" ht="69">
      <c r="A146" s="35">
        <v>145</v>
      </c>
      <c r="B146" s="20" t="s">
        <v>497</v>
      </c>
      <c r="C146" s="20" t="s">
        <v>53</v>
      </c>
      <c r="D146" s="20" t="s">
        <v>427</v>
      </c>
      <c r="E146" s="35">
        <v>0</v>
      </c>
    </row>
    <row r="147" spans="1:5" s="20" customFormat="1" ht="69">
      <c r="A147" s="35">
        <v>146</v>
      </c>
      <c r="B147" s="20" t="s">
        <v>112</v>
      </c>
      <c r="C147" s="20" t="s">
        <v>60</v>
      </c>
      <c r="D147" s="20" t="s">
        <v>427</v>
      </c>
      <c r="E147" s="35">
        <v>2</v>
      </c>
    </row>
    <row r="148" spans="1:5" s="20" customFormat="1">
      <c r="A148" s="35">
        <v>147</v>
      </c>
      <c r="B148" s="20" t="s">
        <v>113</v>
      </c>
      <c r="C148" s="20" t="s">
        <v>55</v>
      </c>
      <c r="D148" s="20" t="s">
        <v>427</v>
      </c>
      <c r="E148" s="35">
        <v>0</v>
      </c>
    </row>
    <row r="149" spans="1:5" s="20" customFormat="1" ht="55.2">
      <c r="A149" s="35">
        <v>148</v>
      </c>
      <c r="B149" s="20" t="s">
        <v>114</v>
      </c>
      <c r="C149" s="20" t="s">
        <v>55</v>
      </c>
      <c r="D149" s="20" t="s">
        <v>427</v>
      </c>
      <c r="E149" s="35">
        <v>0</v>
      </c>
    </row>
    <row r="150" spans="1:5" s="20" customFormat="1" ht="55.2">
      <c r="A150" s="35">
        <v>149</v>
      </c>
      <c r="B150" s="20" t="s">
        <v>498</v>
      </c>
      <c r="C150" s="20" t="s">
        <v>56</v>
      </c>
      <c r="D150" s="20" t="s">
        <v>427</v>
      </c>
      <c r="E150" s="35">
        <v>0</v>
      </c>
    </row>
    <row r="151" spans="1:5" s="20" customFormat="1" ht="124.2">
      <c r="A151" s="35">
        <v>150</v>
      </c>
      <c r="B151" s="20" t="s">
        <v>116</v>
      </c>
      <c r="C151" s="20" t="s">
        <v>55</v>
      </c>
      <c r="D151" s="20" t="s">
        <v>427</v>
      </c>
      <c r="E151" s="35">
        <v>0</v>
      </c>
    </row>
    <row r="152" spans="1:5" s="37" customFormat="1" ht="96.6">
      <c r="A152" s="35">
        <v>151</v>
      </c>
      <c r="B152" s="36" t="s">
        <v>499</v>
      </c>
      <c r="C152" s="37" t="s">
        <v>198</v>
      </c>
      <c r="D152" s="37" t="s">
        <v>428</v>
      </c>
      <c r="E152" s="35">
        <v>0</v>
      </c>
    </row>
    <row r="153" spans="1:5" s="37" customFormat="1" ht="55.2">
      <c r="A153" s="35">
        <v>152</v>
      </c>
      <c r="B153" s="36" t="s">
        <v>229</v>
      </c>
      <c r="C153" s="37" t="s">
        <v>179</v>
      </c>
      <c r="D153" s="37" t="s">
        <v>428</v>
      </c>
      <c r="E153" s="35">
        <v>0</v>
      </c>
    </row>
    <row r="154" spans="1:5" s="37" customFormat="1" ht="151.80000000000001">
      <c r="A154" s="35">
        <v>153</v>
      </c>
      <c r="B154" s="36" t="s">
        <v>500</v>
      </c>
      <c r="C154" s="37" t="s">
        <v>227</v>
      </c>
      <c r="D154" s="37" t="s">
        <v>428</v>
      </c>
      <c r="E154" s="35">
        <v>0</v>
      </c>
    </row>
    <row r="155" spans="1:5" s="37" customFormat="1" ht="55.2">
      <c r="A155" s="35">
        <v>154</v>
      </c>
      <c r="B155" s="36" t="s">
        <v>501</v>
      </c>
      <c r="C155" s="37" t="s">
        <v>193</v>
      </c>
      <c r="D155" s="37" t="s">
        <v>428</v>
      </c>
      <c r="E155" s="35">
        <v>0</v>
      </c>
    </row>
    <row r="156" spans="1:5" s="37" customFormat="1" ht="55.2">
      <c r="A156" s="35">
        <v>155</v>
      </c>
      <c r="B156" s="36" t="s">
        <v>502</v>
      </c>
      <c r="C156" s="37" t="s">
        <v>179</v>
      </c>
      <c r="D156" s="37" t="s">
        <v>428</v>
      </c>
      <c r="E156" s="35">
        <v>0</v>
      </c>
    </row>
    <row r="157" spans="1:5" s="37" customFormat="1" ht="69">
      <c r="A157" s="35">
        <v>156</v>
      </c>
      <c r="B157" s="36" t="s">
        <v>503</v>
      </c>
      <c r="C157" s="37" t="s">
        <v>181</v>
      </c>
      <c r="D157" s="37" t="s">
        <v>428</v>
      </c>
      <c r="E157" s="35">
        <v>0</v>
      </c>
    </row>
    <row r="158" spans="1:5" s="37" customFormat="1" ht="110.4">
      <c r="A158" s="35">
        <v>157</v>
      </c>
      <c r="B158" s="36" t="s">
        <v>223</v>
      </c>
      <c r="C158" s="37" t="s">
        <v>193</v>
      </c>
      <c r="D158" s="37" t="s">
        <v>428</v>
      </c>
      <c r="E158" s="35">
        <v>0</v>
      </c>
    </row>
    <row r="159" spans="1:5" s="37" customFormat="1" ht="27.6">
      <c r="A159" s="35">
        <v>158</v>
      </c>
      <c r="B159" s="36" t="s">
        <v>222</v>
      </c>
      <c r="C159" s="37" t="s">
        <v>193</v>
      </c>
      <c r="D159" s="37" t="s">
        <v>428</v>
      </c>
      <c r="E159" s="35">
        <v>0</v>
      </c>
    </row>
    <row r="160" spans="1:5" s="37" customFormat="1" ht="165.6">
      <c r="A160" s="35">
        <v>159</v>
      </c>
      <c r="B160" s="36" t="s">
        <v>221</v>
      </c>
      <c r="C160" s="37" t="s">
        <v>179</v>
      </c>
      <c r="D160" s="37" t="s">
        <v>428</v>
      </c>
      <c r="E160" s="35">
        <v>0</v>
      </c>
    </row>
    <row r="161" spans="1:5" s="37" customFormat="1" ht="96.6">
      <c r="A161" s="35">
        <v>160</v>
      </c>
      <c r="B161" s="36" t="s">
        <v>220</v>
      </c>
      <c r="C161" s="37" t="s">
        <v>193</v>
      </c>
      <c r="D161" s="37" t="s">
        <v>428</v>
      </c>
      <c r="E161" s="35">
        <v>0</v>
      </c>
    </row>
    <row r="162" spans="1:5" s="37" customFormat="1" ht="55.2">
      <c r="A162" s="35">
        <v>161</v>
      </c>
      <c r="B162" s="36" t="s">
        <v>504</v>
      </c>
      <c r="C162" s="37" t="s">
        <v>179</v>
      </c>
      <c r="D162" s="37" t="s">
        <v>428</v>
      </c>
      <c r="E162" s="35">
        <v>0</v>
      </c>
    </row>
    <row r="163" spans="1:5" s="37" customFormat="1" ht="69">
      <c r="A163" s="35">
        <v>162</v>
      </c>
      <c r="B163" s="36" t="s">
        <v>218</v>
      </c>
      <c r="C163" s="37" t="s">
        <v>193</v>
      </c>
      <c r="D163" s="37" t="s">
        <v>428</v>
      </c>
      <c r="E163" s="35">
        <v>0</v>
      </c>
    </row>
    <row r="164" spans="1:5" s="37" customFormat="1" ht="41.4">
      <c r="A164" s="35">
        <v>163</v>
      </c>
      <c r="B164" s="36" t="s">
        <v>217</v>
      </c>
      <c r="C164" s="37" t="s">
        <v>55</v>
      </c>
      <c r="D164" s="37" t="s">
        <v>428</v>
      </c>
      <c r="E164" s="35">
        <v>0</v>
      </c>
    </row>
    <row r="165" spans="1:5" s="37" customFormat="1" ht="41.4">
      <c r="A165" s="35">
        <v>164</v>
      </c>
      <c r="B165" s="36" t="s">
        <v>216</v>
      </c>
      <c r="C165" s="37" t="s">
        <v>55</v>
      </c>
      <c r="D165" s="37" t="s">
        <v>428</v>
      </c>
      <c r="E165" s="35">
        <v>0</v>
      </c>
    </row>
    <row r="166" spans="1:5" s="37" customFormat="1" ht="193.2">
      <c r="A166" s="35">
        <v>165</v>
      </c>
      <c r="B166" s="36" t="s">
        <v>505</v>
      </c>
      <c r="C166" s="37" t="s">
        <v>193</v>
      </c>
      <c r="D166" s="37" t="s">
        <v>428</v>
      </c>
      <c r="E166" s="35">
        <v>0</v>
      </c>
    </row>
    <row r="167" spans="1:5" s="37" customFormat="1" ht="69">
      <c r="A167" s="35">
        <v>166</v>
      </c>
      <c r="B167" s="36" t="s">
        <v>506</v>
      </c>
      <c r="C167" s="37" t="s">
        <v>185</v>
      </c>
      <c r="D167" s="37" t="s">
        <v>428</v>
      </c>
      <c r="E167" s="35">
        <v>0</v>
      </c>
    </row>
    <row r="168" spans="1:5" s="37" customFormat="1" ht="82.8">
      <c r="A168" s="35">
        <v>167</v>
      </c>
      <c r="B168" s="36" t="s">
        <v>507</v>
      </c>
      <c r="C168" s="37" t="s">
        <v>198</v>
      </c>
      <c r="D168" s="37" t="s">
        <v>428</v>
      </c>
      <c r="E168" s="35">
        <v>0</v>
      </c>
    </row>
    <row r="169" spans="1:5" s="37" customFormat="1" ht="276">
      <c r="A169" s="35">
        <v>168</v>
      </c>
      <c r="B169" s="36" t="s">
        <v>508</v>
      </c>
      <c r="C169" s="37" t="s">
        <v>58</v>
      </c>
      <c r="D169" s="37" t="s">
        <v>428</v>
      </c>
      <c r="E169" s="35">
        <v>0</v>
      </c>
    </row>
    <row r="170" spans="1:5" s="37" customFormat="1" ht="69">
      <c r="A170" s="35">
        <v>169</v>
      </c>
      <c r="B170" s="36" t="s">
        <v>509</v>
      </c>
      <c r="C170" s="37" t="s">
        <v>193</v>
      </c>
      <c r="D170" s="37" t="s">
        <v>428</v>
      </c>
      <c r="E170" s="35">
        <v>0</v>
      </c>
    </row>
    <row r="171" spans="1:5" s="37" customFormat="1" ht="151.80000000000001">
      <c r="A171" s="35">
        <v>170</v>
      </c>
      <c r="B171" s="36" t="s">
        <v>210</v>
      </c>
      <c r="C171" s="37" t="s">
        <v>193</v>
      </c>
      <c r="D171" s="37" t="s">
        <v>428</v>
      </c>
      <c r="E171" s="35">
        <v>0</v>
      </c>
    </row>
    <row r="172" spans="1:5" s="37" customFormat="1" ht="55.2">
      <c r="A172" s="35">
        <v>171</v>
      </c>
      <c r="B172" s="36" t="s">
        <v>209</v>
      </c>
      <c r="C172" s="37" t="s">
        <v>193</v>
      </c>
      <c r="D172" s="37" t="s">
        <v>428</v>
      </c>
      <c r="E172" s="35">
        <v>0</v>
      </c>
    </row>
    <row r="173" spans="1:5" s="37" customFormat="1" ht="55.2">
      <c r="A173" s="35">
        <v>172</v>
      </c>
      <c r="B173" s="36" t="s">
        <v>208</v>
      </c>
      <c r="C173" s="37" t="s">
        <v>179</v>
      </c>
      <c r="D173" s="37" t="s">
        <v>428</v>
      </c>
      <c r="E173" s="35">
        <v>0</v>
      </c>
    </row>
    <row r="174" spans="1:5" s="37" customFormat="1" ht="179.4">
      <c r="A174" s="35">
        <v>173</v>
      </c>
      <c r="B174" s="36" t="s">
        <v>510</v>
      </c>
      <c r="C174" s="37" t="s">
        <v>58</v>
      </c>
      <c r="D174" s="37" t="s">
        <v>428</v>
      </c>
      <c r="E174" s="35">
        <v>0</v>
      </c>
    </row>
    <row r="175" spans="1:5" s="37" customFormat="1" ht="124.2">
      <c r="A175" s="35">
        <v>174</v>
      </c>
      <c r="B175" s="36" t="s">
        <v>511</v>
      </c>
      <c r="C175" s="37" t="s">
        <v>55</v>
      </c>
      <c r="D175" s="37" t="s">
        <v>428</v>
      </c>
      <c r="E175" s="35">
        <v>0</v>
      </c>
    </row>
    <row r="176" spans="1:5" s="37" customFormat="1" ht="69">
      <c r="A176" s="35">
        <v>175</v>
      </c>
      <c r="B176" s="36" t="s">
        <v>512</v>
      </c>
      <c r="C176" s="37" t="s">
        <v>193</v>
      </c>
      <c r="D176" s="37" t="s">
        <v>428</v>
      </c>
      <c r="E176" s="35">
        <v>0</v>
      </c>
    </row>
    <row r="177" spans="1:5" s="37" customFormat="1" ht="82.8">
      <c r="A177" s="35">
        <v>176</v>
      </c>
      <c r="B177" s="36" t="s">
        <v>204</v>
      </c>
      <c r="C177" s="37" t="s">
        <v>55</v>
      </c>
      <c r="D177" s="37" t="s">
        <v>428</v>
      </c>
      <c r="E177" s="35">
        <v>0</v>
      </c>
    </row>
    <row r="178" spans="1:5" s="37" customFormat="1" ht="55.2">
      <c r="A178" s="35">
        <v>177</v>
      </c>
      <c r="B178" s="36" t="s">
        <v>203</v>
      </c>
      <c r="C178" s="37" t="s">
        <v>193</v>
      </c>
      <c r="D178" s="37" t="s">
        <v>428</v>
      </c>
      <c r="E178" s="35">
        <v>0</v>
      </c>
    </row>
    <row r="179" spans="1:5" s="37" customFormat="1" ht="55.2">
      <c r="A179" s="35">
        <v>178</v>
      </c>
      <c r="B179" s="36" t="s">
        <v>513</v>
      </c>
      <c r="C179" s="37" t="s">
        <v>201</v>
      </c>
      <c r="D179" s="37" t="s">
        <v>428</v>
      </c>
      <c r="E179" s="35">
        <v>0</v>
      </c>
    </row>
    <row r="180" spans="1:5" s="37" customFormat="1" ht="69">
      <c r="A180" s="35">
        <v>179</v>
      </c>
      <c r="B180" s="36" t="s">
        <v>514</v>
      </c>
      <c r="C180" s="37" t="s">
        <v>58</v>
      </c>
      <c r="D180" s="37" t="s">
        <v>428</v>
      </c>
      <c r="E180" s="35">
        <v>0</v>
      </c>
    </row>
    <row r="181" spans="1:5" s="37" customFormat="1" ht="82.8">
      <c r="A181" s="35">
        <v>180</v>
      </c>
      <c r="B181" s="36" t="s">
        <v>515</v>
      </c>
      <c r="C181" s="37" t="s">
        <v>198</v>
      </c>
      <c r="D181" s="37" t="s">
        <v>428</v>
      </c>
      <c r="E181" s="35">
        <v>0</v>
      </c>
    </row>
    <row r="182" spans="1:5" s="37" customFormat="1" ht="82.8">
      <c r="A182" s="35">
        <v>181</v>
      </c>
      <c r="B182" s="36" t="s">
        <v>197</v>
      </c>
      <c r="C182" s="37" t="s">
        <v>185</v>
      </c>
      <c r="D182" s="37" t="s">
        <v>428</v>
      </c>
      <c r="E182" s="35">
        <v>0</v>
      </c>
    </row>
    <row r="183" spans="1:5" s="37" customFormat="1" ht="96.6">
      <c r="A183" s="35">
        <v>182</v>
      </c>
      <c r="B183" s="36" t="s">
        <v>196</v>
      </c>
      <c r="C183" s="37" t="s">
        <v>185</v>
      </c>
      <c r="D183" s="37" t="s">
        <v>428</v>
      </c>
      <c r="E183" s="35">
        <v>0</v>
      </c>
    </row>
    <row r="184" spans="1:5" s="37" customFormat="1" ht="41.4">
      <c r="A184" s="35">
        <v>183</v>
      </c>
      <c r="B184" s="36" t="s">
        <v>195</v>
      </c>
      <c r="C184" s="37" t="s">
        <v>58</v>
      </c>
      <c r="D184" s="37" t="s">
        <v>428</v>
      </c>
      <c r="E184" s="35">
        <v>0</v>
      </c>
    </row>
    <row r="185" spans="1:5" s="37" customFormat="1" ht="41.4">
      <c r="A185" s="35">
        <v>184</v>
      </c>
      <c r="B185" s="36" t="s">
        <v>516</v>
      </c>
      <c r="C185" s="37" t="s">
        <v>193</v>
      </c>
      <c r="D185" s="37" t="s">
        <v>428</v>
      </c>
      <c r="E185" s="35">
        <v>0</v>
      </c>
    </row>
    <row r="186" spans="1:5" s="37" customFormat="1" ht="41.4">
      <c r="A186" s="35">
        <v>185</v>
      </c>
      <c r="B186" s="36" t="s">
        <v>192</v>
      </c>
      <c r="C186" s="37" t="s">
        <v>58</v>
      </c>
      <c r="D186" s="37" t="s">
        <v>428</v>
      </c>
      <c r="E186" s="35">
        <v>0</v>
      </c>
    </row>
    <row r="187" spans="1:5" s="37" customFormat="1" ht="124.2">
      <c r="A187" s="35">
        <v>186</v>
      </c>
      <c r="B187" s="36" t="s">
        <v>191</v>
      </c>
      <c r="C187" s="37" t="s">
        <v>55</v>
      </c>
      <c r="D187" s="37" t="s">
        <v>428</v>
      </c>
      <c r="E187" s="35">
        <v>0</v>
      </c>
    </row>
    <row r="188" spans="1:5" s="37" customFormat="1" ht="400.2">
      <c r="A188" s="35">
        <v>187</v>
      </c>
      <c r="B188" s="36" t="s">
        <v>517</v>
      </c>
      <c r="C188" s="37" t="s">
        <v>55</v>
      </c>
      <c r="D188" s="37" t="s">
        <v>428</v>
      </c>
      <c r="E188" s="35">
        <v>0</v>
      </c>
    </row>
    <row r="189" spans="1:5" s="37" customFormat="1" ht="69">
      <c r="A189" s="35">
        <v>188</v>
      </c>
      <c r="B189" s="36" t="s">
        <v>189</v>
      </c>
      <c r="C189" s="37" t="s">
        <v>55</v>
      </c>
      <c r="D189" s="37" t="s">
        <v>428</v>
      </c>
      <c r="E189" s="35">
        <v>0</v>
      </c>
    </row>
    <row r="190" spans="1:5" s="37" customFormat="1" ht="55.2">
      <c r="A190" s="35">
        <v>189</v>
      </c>
      <c r="B190" s="36" t="s">
        <v>188</v>
      </c>
      <c r="C190" s="37" t="s">
        <v>187</v>
      </c>
      <c r="D190" s="37" t="s">
        <v>428</v>
      </c>
      <c r="E190" s="20">
        <v>0</v>
      </c>
    </row>
    <row r="191" spans="1:5" s="37" customFormat="1" ht="55.2">
      <c r="A191" s="35">
        <v>190</v>
      </c>
      <c r="B191" s="36" t="s">
        <v>186</v>
      </c>
      <c r="C191" s="37" t="s">
        <v>185</v>
      </c>
      <c r="D191" s="37" t="s">
        <v>428</v>
      </c>
      <c r="E191" s="35">
        <v>0</v>
      </c>
    </row>
    <row r="192" spans="1:5" s="37" customFormat="1" ht="55.2">
      <c r="A192" s="35">
        <v>191</v>
      </c>
      <c r="B192" s="36" t="s">
        <v>184</v>
      </c>
      <c r="C192" s="37" t="s">
        <v>58</v>
      </c>
      <c r="D192" s="37" t="s">
        <v>428</v>
      </c>
      <c r="E192" s="35">
        <v>0</v>
      </c>
    </row>
    <row r="193" spans="1:5" s="37" customFormat="1" ht="96.6">
      <c r="A193" s="35">
        <v>192</v>
      </c>
      <c r="B193" s="36" t="s">
        <v>518</v>
      </c>
      <c r="C193" s="37" t="s">
        <v>179</v>
      </c>
      <c r="D193" s="37" t="s">
        <v>428</v>
      </c>
      <c r="E193" s="35">
        <v>0</v>
      </c>
    </row>
    <row r="194" spans="1:5" s="37" customFormat="1" ht="82.8">
      <c r="A194" s="35">
        <v>193</v>
      </c>
      <c r="B194" s="36" t="s">
        <v>182</v>
      </c>
      <c r="C194" s="37" t="s">
        <v>181</v>
      </c>
      <c r="D194" s="37" t="s">
        <v>428</v>
      </c>
      <c r="E194" s="35">
        <v>0</v>
      </c>
    </row>
    <row r="195" spans="1:5" s="37" customFormat="1" ht="27.6">
      <c r="A195" s="35">
        <v>194</v>
      </c>
      <c r="B195" s="36" t="s">
        <v>180</v>
      </c>
      <c r="C195" s="37" t="s">
        <v>179</v>
      </c>
      <c r="D195" s="37" t="s">
        <v>428</v>
      </c>
      <c r="E195" s="35">
        <v>0</v>
      </c>
    </row>
    <row r="196" spans="1:5" s="37" customFormat="1" ht="69">
      <c r="A196" s="35">
        <v>195</v>
      </c>
      <c r="B196" s="36" t="s">
        <v>178</v>
      </c>
      <c r="C196" s="37" t="s">
        <v>55</v>
      </c>
      <c r="D196" s="37" t="s">
        <v>428</v>
      </c>
      <c r="E196" s="35">
        <v>0</v>
      </c>
    </row>
    <row r="197" spans="1:5" s="37" customFormat="1" ht="151.80000000000001">
      <c r="A197" s="35">
        <v>196</v>
      </c>
      <c r="B197" s="36" t="s">
        <v>519</v>
      </c>
      <c r="C197" s="37" t="s">
        <v>174</v>
      </c>
      <c r="D197" s="37" t="s">
        <v>428</v>
      </c>
      <c r="E197" s="35">
        <v>1</v>
      </c>
    </row>
    <row r="198" spans="1:5" s="37" customFormat="1" ht="41.4">
      <c r="A198" s="35">
        <v>197</v>
      </c>
      <c r="B198" s="36" t="s">
        <v>176</v>
      </c>
      <c r="C198" s="37" t="s">
        <v>50</v>
      </c>
      <c r="D198" s="37" t="s">
        <v>428</v>
      </c>
      <c r="E198" s="35">
        <v>0</v>
      </c>
    </row>
    <row r="199" spans="1:5" s="37" customFormat="1" ht="96.6">
      <c r="A199" s="35">
        <v>198</v>
      </c>
      <c r="B199" s="36" t="s">
        <v>175</v>
      </c>
      <c r="C199" s="37" t="s">
        <v>174</v>
      </c>
      <c r="D199" s="37" t="s">
        <v>428</v>
      </c>
      <c r="E199" s="35">
        <v>1</v>
      </c>
    </row>
    <row r="200" spans="1:5" s="37" customFormat="1" ht="27.6">
      <c r="A200" s="35">
        <v>199</v>
      </c>
      <c r="B200" s="36" t="s">
        <v>173</v>
      </c>
      <c r="C200" s="37" t="s">
        <v>55</v>
      </c>
      <c r="D200" s="37" t="s">
        <v>428</v>
      </c>
      <c r="E200" s="35">
        <v>0</v>
      </c>
    </row>
    <row r="201" spans="1:5" s="37" customFormat="1" ht="69">
      <c r="A201" s="35">
        <v>200</v>
      </c>
      <c r="B201" s="36" t="s">
        <v>520</v>
      </c>
      <c r="C201" s="37" t="s">
        <v>55</v>
      </c>
      <c r="D201" s="37" t="s">
        <v>428</v>
      </c>
      <c r="E201" s="35">
        <v>0</v>
      </c>
    </row>
  </sheetData>
  <autoFilter ref="A1:E1" xr:uid="{AC43585E-CC17-44FA-8C89-C7684D68BB5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4C261-EC81-4998-B388-41FA30F7E041}">
  <sheetPr codeName="Sheet13"/>
  <dimension ref="A1:E201"/>
  <sheetViews>
    <sheetView tabSelected="1" workbookViewId="0">
      <selection activeCell="A2" sqref="A2"/>
    </sheetView>
  </sheetViews>
  <sheetFormatPr defaultColWidth="9.109375" defaultRowHeight="14.4"/>
  <cols>
    <col min="1" max="1" width="5.88671875" style="35" bestFit="1" customWidth="1"/>
    <col min="2" max="2" width="130.5546875" style="30" customWidth="1"/>
    <col min="3" max="3" width="15.5546875" style="30" customWidth="1"/>
    <col min="4" max="4" width="10" style="20" bestFit="1" customWidth="1"/>
    <col min="5" max="5" width="11.77734375" style="20" bestFit="1" customWidth="1"/>
    <col min="6" max="16384" width="9.109375" style="30"/>
  </cols>
  <sheetData>
    <row r="1" spans="1:5" s="16" customFormat="1" ht="13.8">
      <c r="A1" s="34" t="s">
        <v>584</v>
      </c>
      <c r="B1" s="15" t="s">
        <v>421</v>
      </c>
      <c r="C1" s="15" t="s">
        <v>423</v>
      </c>
      <c r="D1" s="16" t="s">
        <v>424</v>
      </c>
      <c r="E1" s="16" t="s">
        <v>422</v>
      </c>
    </row>
    <row r="2" spans="1:5" ht="82.8">
      <c r="A2" s="35">
        <v>1</v>
      </c>
      <c r="B2" s="20" t="s">
        <v>521</v>
      </c>
      <c r="C2" s="20" t="s">
        <v>62</v>
      </c>
      <c r="D2" s="20" t="s">
        <v>429</v>
      </c>
      <c r="E2" s="20">
        <v>0</v>
      </c>
    </row>
    <row r="3" spans="1:5" ht="41.4">
      <c r="A3" s="35">
        <v>2</v>
      </c>
      <c r="B3" s="20" t="s">
        <v>118</v>
      </c>
      <c r="C3" s="20" t="s">
        <v>65</v>
      </c>
      <c r="D3" s="20" t="s">
        <v>429</v>
      </c>
      <c r="E3" s="20">
        <v>0</v>
      </c>
    </row>
    <row r="4" spans="1:5" ht="41.4">
      <c r="A4" s="35">
        <v>3</v>
      </c>
      <c r="B4" s="20" t="s">
        <v>119</v>
      </c>
      <c r="C4" s="20" t="s">
        <v>63</v>
      </c>
      <c r="D4" s="20" t="s">
        <v>429</v>
      </c>
      <c r="E4" s="20">
        <v>0</v>
      </c>
    </row>
    <row r="5" spans="1:5" ht="124.2">
      <c r="A5" s="35">
        <v>4</v>
      </c>
      <c r="B5" s="20" t="s">
        <v>522</v>
      </c>
      <c r="C5" s="20" t="s">
        <v>63</v>
      </c>
      <c r="D5" s="20" t="s">
        <v>429</v>
      </c>
      <c r="E5" s="20">
        <v>0</v>
      </c>
    </row>
    <row r="6" spans="1:5" ht="27.6">
      <c r="A6" s="35">
        <v>5</v>
      </c>
      <c r="B6" s="20" t="s">
        <v>523</v>
      </c>
      <c r="C6" s="20" t="s">
        <v>55</v>
      </c>
      <c r="D6" s="20" t="s">
        <v>429</v>
      </c>
      <c r="E6" s="20">
        <v>0</v>
      </c>
    </row>
    <row r="7" spans="1:5" ht="110.4">
      <c r="A7" s="35">
        <v>6</v>
      </c>
      <c r="B7" s="20" t="s">
        <v>122</v>
      </c>
      <c r="C7" s="20" t="s">
        <v>63</v>
      </c>
      <c r="D7" s="20" t="s">
        <v>429</v>
      </c>
      <c r="E7" s="20">
        <v>0</v>
      </c>
    </row>
    <row r="8" spans="1:5" ht="69">
      <c r="A8" s="35">
        <v>7</v>
      </c>
      <c r="B8" s="20" t="s">
        <v>524</v>
      </c>
      <c r="C8" s="20" t="s">
        <v>65</v>
      </c>
      <c r="D8" s="20" t="s">
        <v>429</v>
      </c>
      <c r="E8" s="20">
        <v>0</v>
      </c>
    </row>
    <row r="9" spans="1:5" ht="41.4">
      <c r="A9" s="35">
        <v>8</v>
      </c>
      <c r="B9" s="20" t="s">
        <v>124</v>
      </c>
      <c r="C9" s="20" t="s">
        <v>63</v>
      </c>
      <c r="D9" s="20" t="s">
        <v>429</v>
      </c>
      <c r="E9" s="20">
        <v>0</v>
      </c>
    </row>
    <row r="10" spans="1:5" ht="41.4">
      <c r="A10" s="35">
        <v>9</v>
      </c>
      <c r="B10" s="20" t="s">
        <v>525</v>
      </c>
      <c r="C10" s="20" t="s">
        <v>58</v>
      </c>
      <c r="D10" s="20" t="s">
        <v>429</v>
      </c>
      <c r="E10" s="20">
        <v>0</v>
      </c>
    </row>
    <row r="11" spans="1:5" ht="82.8">
      <c r="A11" s="35">
        <v>10</v>
      </c>
      <c r="B11" s="20" t="s">
        <v>526</v>
      </c>
      <c r="C11" s="20" t="s">
        <v>49</v>
      </c>
      <c r="D11" s="20" t="s">
        <v>429</v>
      </c>
      <c r="E11" s="20">
        <v>1</v>
      </c>
    </row>
    <row r="12" spans="1:5" ht="41.4">
      <c r="A12" s="35">
        <v>11</v>
      </c>
      <c r="B12" s="20" t="s">
        <v>127</v>
      </c>
      <c r="C12" s="20" t="s">
        <v>55</v>
      </c>
      <c r="D12" s="20" t="s">
        <v>429</v>
      </c>
      <c r="E12" s="20">
        <v>0</v>
      </c>
    </row>
    <row r="13" spans="1:5" ht="69">
      <c r="A13" s="35">
        <v>12</v>
      </c>
      <c r="B13" s="20" t="s">
        <v>527</v>
      </c>
      <c r="C13" s="20" t="s">
        <v>59</v>
      </c>
      <c r="D13" s="20" t="s">
        <v>429</v>
      </c>
      <c r="E13" s="20">
        <v>0</v>
      </c>
    </row>
    <row r="14" spans="1:5" ht="138">
      <c r="A14" s="35">
        <v>13</v>
      </c>
      <c r="B14" s="20" t="s">
        <v>528</v>
      </c>
      <c r="C14" s="20" t="s">
        <v>54</v>
      </c>
      <c r="D14" s="20" t="s">
        <v>429</v>
      </c>
      <c r="E14" s="20">
        <v>3</v>
      </c>
    </row>
    <row r="15" spans="1:5" ht="27.6">
      <c r="A15" s="35">
        <v>14</v>
      </c>
      <c r="B15" s="20" t="s">
        <v>130</v>
      </c>
      <c r="C15" s="20" t="s">
        <v>131</v>
      </c>
      <c r="D15" s="20" t="s">
        <v>429</v>
      </c>
      <c r="E15" s="20">
        <v>7</v>
      </c>
    </row>
    <row r="16" spans="1:5" ht="82.8">
      <c r="A16" s="35">
        <v>15</v>
      </c>
      <c r="B16" s="20" t="s">
        <v>132</v>
      </c>
      <c r="C16" s="20" t="s">
        <v>53</v>
      </c>
      <c r="D16" s="20" t="s">
        <v>429</v>
      </c>
      <c r="E16" s="20">
        <v>0</v>
      </c>
    </row>
    <row r="17" spans="1:5" ht="110.4">
      <c r="A17" s="35">
        <v>16</v>
      </c>
      <c r="B17" s="20" t="s">
        <v>529</v>
      </c>
      <c r="C17" s="20" t="s">
        <v>49</v>
      </c>
      <c r="D17" s="20" t="s">
        <v>429</v>
      </c>
      <c r="E17" s="20">
        <v>1</v>
      </c>
    </row>
    <row r="18" spans="1:5" ht="138">
      <c r="A18" s="35">
        <v>17</v>
      </c>
      <c r="B18" s="20" t="s">
        <v>530</v>
      </c>
      <c r="C18" s="20" t="s">
        <v>61</v>
      </c>
      <c r="D18" s="20" t="s">
        <v>429</v>
      </c>
      <c r="E18" s="20">
        <v>0</v>
      </c>
    </row>
    <row r="19" spans="1:5" ht="27.6">
      <c r="A19" s="35">
        <v>18</v>
      </c>
      <c r="B19" s="20" t="s">
        <v>135</v>
      </c>
      <c r="C19" s="20" t="s">
        <v>54</v>
      </c>
      <c r="D19" s="20" t="s">
        <v>429</v>
      </c>
      <c r="E19" s="20">
        <v>3</v>
      </c>
    </row>
    <row r="20" spans="1:5" ht="27.6">
      <c r="A20" s="35">
        <v>19</v>
      </c>
      <c r="B20" s="20" t="s">
        <v>136</v>
      </c>
      <c r="C20" s="20" t="s">
        <v>137</v>
      </c>
      <c r="D20" s="20" t="s">
        <v>429</v>
      </c>
      <c r="E20" s="20">
        <v>9</v>
      </c>
    </row>
    <row r="21" spans="1:5" ht="69">
      <c r="A21" s="35">
        <v>20</v>
      </c>
      <c r="B21" s="20" t="s">
        <v>138</v>
      </c>
      <c r="C21" s="20" t="s">
        <v>60</v>
      </c>
      <c r="D21" s="20" t="s">
        <v>429</v>
      </c>
      <c r="E21" s="20">
        <v>2</v>
      </c>
    </row>
    <row r="22" spans="1:5" ht="27.6">
      <c r="A22" s="35">
        <v>21</v>
      </c>
      <c r="B22" s="20" t="s">
        <v>139</v>
      </c>
      <c r="C22" s="20" t="s">
        <v>140</v>
      </c>
      <c r="D22" s="20" t="s">
        <v>429</v>
      </c>
      <c r="E22" s="20">
        <v>5</v>
      </c>
    </row>
    <row r="23" spans="1:5" ht="27.6">
      <c r="A23" s="35">
        <v>22</v>
      </c>
      <c r="B23" s="20" t="s">
        <v>141</v>
      </c>
      <c r="C23" s="20" t="s">
        <v>63</v>
      </c>
      <c r="D23" s="20" t="s">
        <v>429</v>
      </c>
      <c r="E23" s="20">
        <v>0</v>
      </c>
    </row>
    <row r="24" spans="1:5" ht="55.2">
      <c r="A24" s="35">
        <v>23</v>
      </c>
      <c r="B24" s="20" t="s">
        <v>531</v>
      </c>
      <c r="C24" s="20" t="s">
        <v>49</v>
      </c>
      <c r="D24" s="20" t="s">
        <v>429</v>
      </c>
      <c r="E24" s="20">
        <v>1</v>
      </c>
    </row>
    <row r="25" spans="1:5" ht="27.6">
      <c r="A25" s="35">
        <v>24</v>
      </c>
      <c r="B25" s="20" t="s">
        <v>532</v>
      </c>
      <c r="C25" s="20" t="s">
        <v>62</v>
      </c>
      <c r="D25" s="20" t="s">
        <v>429</v>
      </c>
      <c r="E25" s="20">
        <v>0</v>
      </c>
    </row>
    <row r="26" spans="1:5" ht="41.4">
      <c r="A26" s="35">
        <v>25</v>
      </c>
      <c r="B26" s="20" t="s">
        <v>144</v>
      </c>
      <c r="C26" s="20" t="s">
        <v>56</v>
      </c>
      <c r="D26" s="20" t="s">
        <v>429</v>
      </c>
      <c r="E26" s="20">
        <v>0</v>
      </c>
    </row>
    <row r="27" spans="1:5" ht="69">
      <c r="A27" s="35">
        <v>26</v>
      </c>
      <c r="B27" s="20" t="s">
        <v>533</v>
      </c>
      <c r="C27" s="20" t="s">
        <v>54</v>
      </c>
      <c r="D27" s="20" t="s">
        <v>429</v>
      </c>
      <c r="E27" s="20">
        <v>3</v>
      </c>
    </row>
    <row r="28" spans="1:5" ht="27.6">
      <c r="A28" s="35">
        <v>27</v>
      </c>
      <c r="B28" s="20" t="s">
        <v>146</v>
      </c>
      <c r="C28" s="20" t="s">
        <v>54</v>
      </c>
      <c r="D28" s="20" t="s">
        <v>429</v>
      </c>
      <c r="E28" s="20">
        <v>3</v>
      </c>
    </row>
    <row r="29" spans="1:5" ht="55.2">
      <c r="A29" s="35">
        <v>28</v>
      </c>
      <c r="B29" s="20" t="s">
        <v>147</v>
      </c>
      <c r="C29" s="20" t="s">
        <v>51</v>
      </c>
      <c r="D29" s="20" t="s">
        <v>429</v>
      </c>
      <c r="E29" s="20">
        <v>0</v>
      </c>
    </row>
    <row r="30" spans="1:5" ht="69">
      <c r="A30" s="35">
        <v>29</v>
      </c>
      <c r="B30" s="20" t="s">
        <v>148</v>
      </c>
      <c r="C30" s="20" t="s">
        <v>149</v>
      </c>
      <c r="D30" s="20" t="s">
        <v>429</v>
      </c>
      <c r="E30" s="20">
        <v>0</v>
      </c>
    </row>
    <row r="31" spans="1:5" ht="41.4">
      <c r="A31" s="35">
        <v>30</v>
      </c>
      <c r="B31" s="20" t="s">
        <v>150</v>
      </c>
      <c r="C31" s="20" t="s">
        <v>54</v>
      </c>
      <c r="D31" s="20" t="s">
        <v>429</v>
      </c>
      <c r="E31" s="20">
        <v>3</v>
      </c>
    </row>
    <row r="32" spans="1:5" ht="55.2">
      <c r="A32" s="35">
        <v>31</v>
      </c>
      <c r="B32" s="20" t="s">
        <v>151</v>
      </c>
      <c r="C32" s="20" t="s">
        <v>54</v>
      </c>
      <c r="D32" s="20" t="s">
        <v>429</v>
      </c>
      <c r="E32" s="20">
        <v>3</v>
      </c>
    </row>
    <row r="33" spans="1:5" ht="27.6">
      <c r="A33" s="35">
        <v>32</v>
      </c>
      <c r="B33" s="20" t="s">
        <v>152</v>
      </c>
      <c r="C33" s="20" t="s">
        <v>60</v>
      </c>
      <c r="D33" s="20" t="s">
        <v>429</v>
      </c>
      <c r="E33" s="20">
        <v>2</v>
      </c>
    </row>
    <row r="34" spans="1:5" ht="124.2">
      <c r="A34" s="35">
        <v>33</v>
      </c>
      <c r="B34" s="20" t="s">
        <v>153</v>
      </c>
      <c r="C34" s="20" t="s">
        <v>49</v>
      </c>
      <c r="D34" s="20" t="s">
        <v>429</v>
      </c>
      <c r="E34" s="20">
        <v>1</v>
      </c>
    </row>
    <row r="35" spans="1:5" ht="96.6">
      <c r="A35" s="35">
        <v>34</v>
      </c>
      <c r="B35" s="20" t="s">
        <v>534</v>
      </c>
      <c r="C35" s="20" t="s">
        <v>155</v>
      </c>
      <c r="D35" s="20" t="s">
        <v>429</v>
      </c>
      <c r="E35" s="20">
        <v>8</v>
      </c>
    </row>
    <row r="36" spans="1:5" ht="69">
      <c r="A36" s="35">
        <v>35</v>
      </c>
      <c r="B36" s="20" t="s">
        <v>156</v>
      </c>
      <c r="C36" s="20" t="s">
        <v>52</v>
      </c>
      <c r="D36" s="20" t="s">
        <v>429</v>
      </c>
      <c r="E36" s="20">
        <v>0</v>
      </c>
    </row>
    <row r="37" spans="1:5" ht="41.4">
      <c r="A37" s="35">
        <v>36</v>
      </c>
      <c r="B37" s="20" t="s">
        <v>535</v>
      </c>
      <c r="C37" s="20" t="s">
        <v>49</v>
      </c>
      <c r="D37" s="20" t="s">
        <v>429</v>
      </c>
      <c r="E37" s="20">
        <v>1</v>
      </c>
    </row>
    <row r="38" spans="1:5" ht="207">
      <c r="A38" s="35">
        <v>37</v>
      </c>
      <c r="B38" s="20" t="s">
        <v>536</v>
      </c>
      <c r="C38" s="20" t="s">
        <v>49</v>
      </c>
      <c r="D38" s="20" t="s">
        <v>429</v>
      </c>
      <c r="E38" s="20">
        <v>1</v>
      </c>
    </row>
    <row r="39" spans="1:5" ht="55.2">
      <c r="A39" s="35">
        <v>38</v>
      </c>
      <c r="B39" s="20" t="s">
        <v>537</v>
      </c>
      <c r="C39" s="20" t="s">
        <v>51</v>
      </c>
      <c r="D39" s="20" t="s">
        <v>429</v>
      </c>
      <c r="E39" s="20">
        <v>0</v>
      </c>
    </row>
    <row r="40" spans="1:5" ht="110.4">
      <c r="A40" s="35">
        <v>39</v>
      </c>
      <c r="B40" s="20" t="s">
        <v>160</v>
      </c>
      <c r="C40" s="20" t="s">
        <v>49</v>
      </c>
      <c r="D40" s="20" t="s">
        <v>429</v>
      </c>
      <c r="E40" s="20">
        <v>1</v>
      </c>
    </row>
    <row r="41" spans="1:5" ht="124.2">
      <c r="A41" s="35">
        <v>40</v>
      </c>
      <c r="B41" s="20" t="s">
        <v>538</v>
      </c>
      <c r="C41" s="20" t="s">
        <v>49</v>
      </c>
      <c r="D41" s="20" t="s">
        <v>429</v>
      </c>
      <c r="E41" s="20">
        <v>1</v>
      </c>
    </row>
    <row r="42" spans="1:5" ht="55.2">
      <c r="A42" s="35">
        <v>41</v>
      </c>
      <c r="B42" s="20" t="s">
        <v>162</v>
      </c>
      <c r="C42" s="20" t="s">
        <v>49</v>
      </c>
      <c r="D42" s="20" t="s">
        <v>429</v>
      </c>
      <c r="E42" s="20">
        <v>1</v>
      </c>
    </row>
    <row r="43" spans="1:5" ht="82.8">
      <c r="A43" s="35">
        <v>42</v>
      </c>
      <c r="B43" s="20" t="s">
        <v>539</v>
      </c>
      <c r="C43" s="20" t="s">
        <v>49</v>
      </c>
      <c r="D43" s="20" t="s">
        <v>429</v>
      </c>
      <c r="E43" s="20">
        <v>1</v>
      </c>
    </row>
    <row r="44" spans="1:5">
      <c r="A44" s="35">
        <v>43</v>
      </c>
      <c r="B44" s="20" t="s">
        <v>164</v>
      </c>
      <c r="C44" s="20" t="s">
        <v>65</v>
      </c>
      <c r="D44" s="20" t="s">
        <v>429</v>
      </c>
      <c r="E44" s="20">
        <v>0</v>
      </c>
    </row>
    <row r="45" spans="1:5" ht="41.4">
      <c r="A45" s="35">
        <v>44</v>
      </c>
      <c r="B45" s="20" t="s">
        <v>540</v>
      </c>
      <c r="C45" s="20" t="s">
        <v>49</v>
      </c>
      <c r="D45" s="20" t="s">
        <v>429</v>
      </c>
      <c r="E45" s="20">
        <v>1</v>
      </c>
    </row>
    <row r="46" spans="1:5" ht="248.4">
      <c r="A46" s="35">
        <v>45</v>
      </c>
      <c r="B46" s="20" t="s">
        <v>541</v>
      </c>
      <c r="C46" s="20" t="s">
        <v>54</v>
      </c>
      <c r="D46" s="20" t="s">
        <v>429</v>
      </c>
      <c r="E46" s="20">
        <v>3</v>
      </c>
    </row>
    <row r="47" spans="1:5" ht="110.4">
      <c r="A47" s="35">
        <v>46</v>
      </c>
      <c r="B47" s="20" t="s">
        <v>167</v>
      </c>
      <c r="C47" s="20" t="s">
        <v>54</v>
      </c>
      <c r="D47" s="20" t="s">
        <v>429</v>
      </c>
      <c r="E47" s="20">
        <v>3</v>
      </c>
    </row>
    <row r="48" spans="1:5" ht="27.6">
      <c r="A48" s="35">
        <v>47</v>
      </c>
      <c r="B48" s="20" t="s">
        <v>168</v>
      </c>
      <c r="C48" s="20" t="s">
        <v>49</v>
      </c>
      <c r="D48" s="20" t="s">
        <v>429</v>
      </c>
      <c r="E48" s="20">
        <v>1</v>
      </c>
    </row>
    <row r="49" spans="1:5" ht="55.2">
      <c r="A49" s="35">
        <v>48</v>
      </c>
      <c r="B49" s="20" t="s">
        <v>542</v>
      </c>
      <c r="C49" s="20" t="s">
        <v>49</v>
      </c>
      <c r="D49" s="20" t="s">
        <v>429</v>
      </c>
      <c r="E49" s="20">
        <v>1</v>
      </c>
    </row>
    <row r="50" spans="1:5" ht="69">
      <c r="A50" s="35">
        <v>49</v>
      </c>
      <c r="B50" s="20" t="s">
        <v>170</v>
      </c>
      <c r="C50" s="20" t="s">
        <v>51</v>
      </c>
      <c r="D50" s="20" t="s">
        <v>429</v>
      </c>
      <c r="E50" s="20">
        <v>0</v>
      </c>
    </row>
    <row r="51" spans="1:5" ht="124.2">
      <c r="A51" s="35">
        <v>50</v>
      </c>
      <c r="B51" s="20" t="s">
        <v>171</v>
      </c>
      <c r="C51" s="20" t="s">
        <v>49</v>
      </c>
      <c r="D51" s="20" t="s">
        <v>429</v>
      </c>
      <c r="E51" s="20">
        <v>1</v>
      </c>
    </row>
    <row r="52" spans="1:5" s="31" customFormat="1" ht="151.80000000000001">
      <c r="A52" s="35">
        <v>51</v>
      </c>
      <c r="B52" s="27" t="s">
        <v>543</v>
      </c>
      <c r="C52" s="31" t="s">
        <v>63</v>
      </c>
      <c r="D52" s="31" t="s">
        <v>430</v>
      </c>
      <c r="E52" s="20">
        <v>0</v>
      </c>
    </row>
    <row r="53" spans="1:5" s="31" customFormat="1" ht="138">
      <c r="A53" s="35">
        <v>52</v>
      </c>
      <c r="B53" s="27" t="s">
        <v>544</v>
      </c>
      <c r="C53" s="31" t="s">
        <v>59</v>
      </c>
      <c r="D53" s="31" t="s">
        <v>430</v>
      </c>
      <c r="E53" s="20">
        <v>0</v>
      </c>
    </row>
    <row r="54" spans="1:5" s="31" customFormat="1" ht="193.2">
      <c r="A54" s="35">
        <v>53</v>
      </c>
      <c r="B54" s="27" t="s">
        <v>545</v>
      </c>
      <c r="C54" s="31" t="s">
        <v>61</v>
      </c>
      <c r="D54" s="31" t="s">
        <v>430</v>
      </c>
      <c r="E54" s="20">
        <v>0</v>
      </c>
    </row>
    <row r="55" spans="1:5" s="31" customFormat="1" ht="69">
      <c r="A55" s="35">
        <v>54</v>
      </c>
      <c r="B55" s="27" t="s">
        <v>277</v>
      </c>
      <c r="C55" s="31" t="s">
        <v>63</v>
      </c>
      <c r="D55" s="31" t="s">
        <v>430</v>
      </c>
      <c r="E55" s="20">
        <v>0</v>
      </c>
    </row>
    <row r="56" spans="1:5" s="31" customFormat="1" ht="165.6">
      <c r="A56" s="35">
        <v>55</v>
      </c>
      <c r="B56" s="27" t="s">
        <v>276</v>
      </c>
      <c r="C56" s="31" t="s">
        <v>55</v>
      </c>
      <c r="D56" s="31" t="s">
        <v>430</v>
      </c>
      <c r="E56" s="20">
        <v>0</v>
      </c>
    </row>
    <row r="57" spans="1:5" s="31" customFormat="1" ht="82.8">
      <c r="A57" s="35">
        <v>56</v>
      </c>
      <c r="B57" s="27" t="s">
        <v>275</v>
      </c>
      <c r="C57" s="31" t="s">
        <v>59</v>
      </c>
      <c r="D57" s="31" t="s">
        <v>430</v>
      </c>
      <c r="E57" s="20">
        <v>0</v>
      </c>
    </row>
    <row r="58" spans="1:5" s="31" customFormat="1" ht="220.8">
      <c r="A58" s="35">
        <v>57</v>
      </c>
      <c r="B58" s="27" t="s">
        <v>274</v>
      </c>
      <c r="C58" s="31" t="s">
        <v>59</v>
      </c>
      <c r="D58" s="31" t="s">
        <v>430</v>
      </c>
      <c r="E58" s="20">
        <v>0</v>
      </c>
    </row>
    <row r="59" spans="1:5" s="31" customFormat="1" ht="41.4">
      <c r="A59" s="35">
        <v>58</v>
      </c>
      <c r="B59" s="27" t="s">
        <v>273</v>
      </c>
      <c r="C59" s="31" t="s">
        <v>53</v>
      </c>
      <c r="D59" s="31" t="s">
        <v>430</v>
      </c>
      <c r="E59" s="20">
        <v>0</v>
      </c>
    </row>
    <row r="60" spans="1:5" s="31" customFormat="1" ht="179.4">
      <c r="A60" s="35">
        <v>59</v>
      </c>
      <c r="B60" s="27" t="s">
        <v>546</v>
      </c>
      <c r="C60" s="31" t="s">
        <v>59</v>
      </c>
      <c r="D60" s="31" t="s">
        <v>430</v>
      </c>
      <c r="E60" s="20">
        <v>0</v>
      </c>
    </row>
    <row r="61" spans="1:5" s="31" customFormat="1" ht="179.4">
      <c r="A61" s="35">
        <v>60</v>
      </c>
      <c r="B61" s="27" t="s">
        <v>547</v>
      </c>
      <c r="C61" s="31" t="s">
        <v>59</v>
      </c>
      <c r="D61" s="31" t="s">
        <v>430</v>
      </c>
      <c r="E61" s="20">
        <v>0</v>
      </c>
    </row>
    <row r="62" spans="1:5" s="31" customFormat="1" ht="41.4">
      <c r="A62" s="35">
        <v>61</v>
      </c>
      <c r="B62" s="27" t="s">
        <v>270</v>
      </c>
      <c r="C62" s="31" t="s">
        <v>58</v>
      </c>
      <c r="D62" s="31" t="s">
        <v>430</v>
      </c>
      <c r="E62" s="20">
        <v>0</v>
      </c>
    </row>
    <row r="63" spans="1:5" s="31" customFormat="1" ht="110.4">
      <c r="A63" s="35">
        <v>62</v>
      </c>
      <c r="B63" s="27" t="s">
        <v>548</v>
      </c>
      <c r="C63" s="31" t="s">
        <v>62</v>
      </c>
      <c r="D63" s="31" t="s">
        <v>430</v>
      </c>
      <c r="E63" s="20">
        <v>0</v>
      </c>
    </row>
    <row r="64" spans="1:5" s="31" customFormat="1" ht="124.2">
      <c r="A64" s="35">
        <v>63</v>
      </c>
      <c r="B64" s="27" t="s">
        <v>549</v>
      </c>
      <c r="C64" s="31" t="s">
        <v>61</v>
      </c>
      <c r="D64" s="31" t="s">
        <v>430</v>
      </c>
      <c r="E64" s="20">
        <v>0</v>
      </c>
    </row>
    <row r="65" spans="1:5" s="31" customFormat="1" ht="165.6">
      <c r="A65" s="35">
        <v>64</v>
      </c>
      <c r="B65" s="27" t="s">
        <v>267</v>
      </c>
      <c r="C65" s="31" t="s">
        <v>58</v>
      </c>
      <c r="D65" s="31" t="s">
        <v>430</v>
      </c>
      <c r="E65" s="20">
        <v>0</v>
      </c>
    </row>
    <row r="66" spans="1:5" s="31" customFormat="1" ht="96.6">
      <c r="A66" s="35">
        <v>65</v>
      </c>
      <c r="B66" s="27" t="s">
        <v>266</v>
      </c>
      <c r="C66" s="31" t="s">
        <v>58</v>
      </c>
      <c r="D66" s="31" t="s">
        <v>430</v>
      </c>
      <c r="E66" s="20">
        <v>0</v>
      </c>
    </row>
    <row r="67" spans="1:5" s="31" customFormat="1" ht="55.2">
      <c r="A67" s="35">
        <v>66</v>
      </c>
      <c r="B67" s="27" t="s">
        <v>265</v>
      </c>
      <c r="C67" s="31" t="s">
        <v>58</v>
      </c>
      <c r="D67" s="31" t="s">
        <v>430</v>
      </c>
      <c r="E67" s="20">
        <v>0</v>
      </c>
    </row>
    <row r="68" spans="1:5" s="31" customFormat="1" ht="69">
      <c r="A68" s="35">
        <v>67</v>
      </c>
      <c r="B68" s="27" t="s">
        <v>550</v>
      </c>
      <c r="C68" s="31" t="s">
        <v>58</v>
      </c>
      <c r="D68" s="31" t="s">
        <v>430</v>
      </c>
      <c r="E68" s="20">
        <v>0</v>
      </c>
    </row>
    <row r="69" spans="1:5" s="31" customFormat="1" ht="41.4">
      <c r="A69" s="35">
        <v>68</v>
      </c>
      <c r="B69" s="27" t="s">
        <v>551</v>
      </c>
      <c r="C69" s="31" t="s">
        <v>55</v>
      </c>
      <c r="D69" s="31" t="s">
        <v>430</v>
      </c>
      <c r="E69" s="20">
        <v>0</v>
      </c>
    </row>
    <row r="70" spans="1:5" s="31" customFormat="1" ht="27.6">
      <c r="A70" s="35">
        <v>69</v>
      </c>
      <c r="B70" s="27" t="s">
        <v>262</v>
      </c>
      <c r="C70" s="31" t="s">
        <v>49</v>
      </c>
      <c r="D70" s="31" t="s">
        <v>430</v>
      </c>
      <c r="E70" s="20">
        <v>1</v>
      </c>
    </row>
    <row r="71" spans="1:5" s="31" customFormat="1" ht="55.2">
      <c r="A71" s="35">
        <v>70</v>
      </c>
      <c r="B71" s="27" t="s">
        <v>261</v>
      </c>
      <c r="C71" s="31" t="s">
        <v>55</v>
      </c>
      <c r="D71" s="31" t="s">
        <v>430</v>
      </c>
      <c r="E71" s="20">
        <v>0</v>
      </c>
    </row>
    <row r="72" spans="1:5" s="31" customFormat="1" ht="220.8">
      <c r="A72" s="35">
        <v>71</v>
      </c>
      <c r="B72" s="27" t="s">
        <v>260</v>
      </c>
      <c r="C72" s="31" t="s">
        <v>56</v>
      </c>
      <c r="D72" s="31" t="s">
        <v>430</v>
      </c>
      <c r="E72" s="20">
        <v>0</v>
      </c>
    </row>
    <row r="73" spans="1:5" s="31" customFormat="1" ht="41.4">
      <c r="A73" s="35">
        <v>72</v>
      </c>
      <c r="B73" s="27" t="s">
        <v>552</v>
      </c>
      <c r="C73" s="31" t="s">
        <v>55</v>
      </c>
      <c r="D73" s="31" t="s">
        <v>430</v>
      </c>
      <c r="E73" s="20">
        <v>0</v>
      </c>
    </row>
    <row r="74" spans="1:5" s="31" customFormat="1" ht="82.8">
      <c r="A74" s="35">
        <v>73</v>
      </c>
      <c r="B74" s="27" t="s">
        <v>258</v>
      </c>
      <c r="C74" s="31" t="s">
        <v>49</v>
      </c>
      <c r="D74" s="31" t="s">
        <v>430</v>
      </c>
      <c r="E74" s="20">
        <v>1</v>
      </c>
    </row>
    <row r="75" spans="1:5" s="31" customFormat="1" ht="82.8">
      <c r="A75" s="35">
        <v>74</v>
      </c>
      <c r="B75" s="27" t="s">
        <v>257</v>
      </c>
      <c r="C75" s="31" t="s">
        <v>62</v>
      </c>
      <c r="D75" s="31" t="s">
        <v>430</v>
      </c>
      <c r="E75" s="20">
        <v>0</v>
      </c>
    </row>
    <row r="76" spans="1:5" s="31" customFormat="1" ht="124.2">
      <c r="A76" s="35">
        <v>75</v>
      </c>
      <c r="B76" s="27" t="s">
        <v>256</v>
      </c>
      <c r="C76" s="31" t="s">
        <v>56</v>
      </c>
      <c r="D76" s="31" t="s">
        <v>430</v>
      </c>
      <c r="E76" s="20">
        <v>0</v>
      </c>
    </row>
    <row r="77" spans="1:5" s="31" customFormat="1" ht="41.4">
      <c r="A77" s="35">
        <v>76</v>
      </c>
      <c r="B77" s="27" t="s">
        <v>255</v>
      </c>
      <c r="C77" s="31" t="s">
        <v>56</v>
      </c>
      <c r="D77" s="31" t="s">
        <v>430</v>
      </c>
      <c r="E77" s="20">
        <v>0</v>
      </c>
    </row>
    <row r="78" spans="1:5" s="31" customFormat="1" ht="55.2">
      <c r="A78" s="35">
        <v>77</v>
      </c>
      <c r="B78" s="27" t="s">
        <v>254</v>
      </c>
      <c r="C78" s="31" t="s">
        <v>62</v>
      </c>
      <c r="D78" s="31" t="s">
        <v>430</v>
      </c>
      <c r="E78" s="20">
        <v>0</v>
      </c>
    </row>
    <row r="79" spans="1:5" s="31" customFormat="1" ht="179.4">
      <c r="A79" s="35">
        <v>78</v>
      </c>
      <c r="B79" s="27" t="s">
        <v>553</v>
      </c>
      <c r="C79" s="31" t="s">
        <v>131</v>
      </c>
      <c r="D79" s="31" t="s">
        <v>430</v>
      </c>
      <c r="E79" s="31">
        <v>7</v>
      </c>
    </row>
    <row r="80" spans="1:5" s="31" customFormat="1" ht="138">
      <c r="A80" s="35">
        <v>79</v>
      </c>
      <c r="B80" s="27" t="s">
        <v>252</v>
      </c>
      <c r="C80" s="31" t="s">
        <v>56</v>
      </c>
      <c r="D80" s="31" t="s">
        <v>430</v>
      </c>
      <c r="E80" s="20">
        <v>0</v>
      </c>
    </row>
    <row r="81" spans="1:5" s="31" customFormat="1" ht="124.2">
      <c r="A81" s="35">
        <v>80</v>
      </c>
      <c r="B81" s="27" t="s">
        <v>554</v>
      </c>
      <c r="C81" s="31" t="s">
        <v>49</v>
      </c>
      <c r="D81" s="31" t="s">
        <v>430</v>
      </c>
      <c r="E81" s="20">
        <v>1</v>
      </c>
    </row>
    <row r="82" spans="1:5" s="31" customFormat="1" ht="41.4">
      <c r="A82" s="35">
        <v>81</v>
      </c>
      <c r="B82" s="27" t="s">
        <v>555</v>
      </c>
      <c r="C82" s="31" t="s">
        <v>63</v>
      </c>
      <c r="D82" s="31" t="s">
        <v>430</v>
      </c>
      <c r="E82" s="20">
        <v>0</v>
      </c>
    </row>
    <row r="83" spans="1:5" s="31" customFormat="1" ht="55.2">
      <c r="A83" s="35">
        <v>82</v>
      </c>
      <c r="B83" s="27" t="s">
        <v>556</v>
      </c>
      <c r="C83" s="31" t="s">
        <v>60</v>
      </c>
      <c r="D83" s="31" t="s">
        <v>430</v>
      </c>
      <c r="E83" s="20">
        <v>2</v>
      </c>
    </row>
    <row r="84" spans="1:5" s="31" customFormat="1" ht="55.2">
      <c r="A84" s="35">
        <v>83</v>
      </c>
      <c r="B84" s="27" t="s">
        <v>557</v>
      </c>
      <c r="C84" s="31" t="s">
        <v>52</v>
      </c>
      <c r="D84" s="31" t="s">
        <v>430</v>
      </c>
      <c r="E84" s="20">
        <v>0</v>
      </c>
    </row>
    <row r="85" spans="1:5" s="31" customFormat="1" ht="165.6">
      <c r="A85" s="35">
        <v>84</v>
      </c>
      <c r="B85" s="27" t="s">
        <v>558</v>
      </c>
      <c r="C85" s="31" t="s">
        <v>56</v>
      </c>
      <c r="D85" s="31" t="s">
        <v>430</v>
      </c>
      <c r="E85" s="20">
        <v>0</v>
      </c>
    </row>
    <row r="86" spans="1:5" s="31" customFormat="1" ht="138">
      <c r="A86" s="35">
        <v>85</v>
      </c>
      <c r="B86" s="27" t="s">
        <v>246</v>
      </c>
      <c r="C86" s="31" t="s">
        <v>51</v>
      </c>
      <c r="D86" s="31" t="s">
        <v>430</v>
      </c>
      <c r="E86" s="20">
        <v>0</v>
      </c>
    </row>
    <row r="87" spans="1:5" s="31" customFormat="1" ht="55.2">
      <c r="A87" s="35">
        <v>86</v>
      </c>
      <c r="B87" s="27" t="s">
        <v>245</v>
      </c>
      <c r="C87" s="31" t="s">
        <v>60</v>
      </c>
      <c r="D87" s="31" t="s">
        <v>430</v>
      </c>
      <c r="E87" s="20">
        <v>2</v>
      </c>
    </row>
    <row r="88" spans="1:5" s="31" customFormat="1" ht="27.6">
      <c r="A88" s="35">
        <v>87</v>
      </c>
      <c r="B88" s="27" t="s">
        <v>244</v>
      </c>
      <c r="C88" s="31" t="s">
        <v>58</v>
      </c>
      <c r="D88" s="31" t="s">
        <v>430</v>
      </c>
      <c r="E88" s="20">
        <v>0</v>
      </c>
    </row>
    <row r="89" spans="1:5" s="31" customFormat="1" ht="82.8">
      <c r="A89" s="35">
        <v>88</v>
      </c>
      <c r="B89" s="27" t="s">
        <v>243</v>
      </c>
      <c r="C89" s="31" t="s">
        <v>51</v>
      </c>
      <c r="D89" s="31" t="s">
        <v>430</v>
      </c>
      <c r="E89" s="20">
        <v>0</v>
      </c>
    </row>
    <row r="90" spans="1:5" s="31" customFormat="1" ht="69">
      <c r="A90" s="35">
        <v>89</v>
      </c>
      <c r="B90" s="27" t="s">
        <v>242</v>
      </c>
      <c r="C90" s="31" t="s">
        <v>155</v>
      </c>
      <c r="D90" s="31" t="s">
        <v>430</v>
      </c>
      <c r="E90" s="31">
        <v>8</v>
      </c>
    </row>
    <row r="91" spans="1:5" s="31" customFormat="1" ht="41.4">
      <c r="A91" s="35">
        <v>90</v>
      </c>
      <c r="B91" s="27" t="s">
        <v>241</v>
      </c>
      <c r="C91" s="31" t="s">
        <v>54</v>
      </c>
      <c r="D91" s="31" t="s">
        <v>430</v>
      </c>
      <c r="E91" s="20">
        <v>3</v>
      </c>
    </row>
    <row r="92" spans="1:5" s="31" customFormat="1" ht="41.4">
      <c r="A92" s="35">
        <v>91</v>
      </c>
      <c r="B92" s="27" t="s">
        <v>559</v>
      </c>
      <c r="C92" s="31" t="s">
        <v>52</v>
      </c>
      <c r="D92" s="31" t="s">
        <v>430</v>
      </c>
      <c r="E92" s="20">
        <v>0</v>
      </c>
    </row>
    <row r="93" spans="1:5" s="31" customFormat="1" ht="82.8">
      <c r="A93" s="35">
        <v>92</v>
      </c>
      <c r="B93" s="27" t="s">
        <v>239</v>
      </c>
      <c r="C93" s="31" t="s">
        <v>49</v>
      </c>
      <c r="D93" s="31" t="s">
        <v>430</v>
      </c>
      <c r="E93" s="20">
        <v>1</v>
      </c>
    </row>
    <row r="94" spans="1:5" s="31" customFormat="1" ht="27.6">
      <c r="A94" s="35">
        <v>93</v>
      </c>
      <c r="B94" s="27" t="s">
        <v>238</v>
      </c>
      <c r="C94" s="31" t="s">
        <v>56</v>
      </c>
      <c r="D94" s="31" t="s">
        <v>430</v>
      </c>
      <c r="E94" s="20">
        <v>0</v>
      </c>
    </row>
    <row r="95" spans="1:5" s="31" customFormat="1" ht="165.6">
      <c r="A95" s="35">
        <v>94</v>
      </c>
      <c r="B95" s="27" t="s">
        <v>560</v>
      </c>
      <c r="C95" s="31" t="s">
        <v>50</v>
      </c>
      <c r="D95" s="31" t="s">
        <v>430</v>
      </c>
      <c r="E95" s="20">
        <v>0</v>
      </c>
    </row>
    <row r="96" spans="1:5" s="31" customFormat="1" ht="55.2">
      <c r="A96" s="35">
        <v>95</v>
      </c>
      <c r="B96" s="27" t="s">
        <v>236</v>
      </c>
      <c r="C96" s="31" t="s">
        <v>131</v>
      </c>
      <c r="D96" s="31" t="s">
        <v>430</v>
      </c>
      <c r="E96" s="31">
        <v>7</v>
      </c>
    </row>
    <row r="97" spans="1:5" s="31" customFormat="1" ht="220.8">
      <c r="A97" s="35">
        <v>96</v>
      </c>
      <c r="B97" s="27" t="s">
        <v>235</v>
      </c>
      <c r="C97" s="31" t="s">
        <v>51</v>
      </c>
      <c r="D97" s="31" t="s">
        <v>430</v>
      </c>
      <c r="E97" s="20">
        <v>0</v>
      </c>
    </row>
    <row r="98" spans="1:5" s="31" customFormat="1" ht="193.2">
      <c r="A98" s="35">
        <v>97</v>
      </c>
      <c r="B98" s="27" t="s">
        <v>561</v>
      </c>
      <c r="C98" s="31" t="s">
        <v>49</v>
      </c>
      <c r="D98" s="31" t="s">
        <v>430</v>
      </c>
      <c r="E98" s="20">
        <v>1</v>
      </c>
    </row>
    <row r="99" spans="1:5" s="31" customFormat="1" ht="82.8">
      <c r="A99" s="35">
        <v>98</v>
      </c>
      <c r="B99" s="27" t="s">
        <v>233</v>
      </c>
      <c r="C99" s="31" t="s">
        <v>49</v>
      </c>
      <c r="D99" s="31" t="s">
        <v>430</v>
      </c>
      <c r="E99" s="20">
        <v>1</v>
      </c>
    </row>
    <row r="100" spans="1:5" s="31" customFormat="1" ht="110.4">
      <c r="A100" s="35">
        <v>99</v>
      </c>
      <c r="B100" s="27" t="s">
        <v>232</v>
      </c>
      <c r="C100" s="31" t="s">
        <v>49</v>
      </c>
      <c r="D100" s="31" t="s">
        <v>430</v>
      </c>
      <c r="E100" s="20">
        <v>1</v>
      </c>
    </row>
    <row r="101" spans="1:5" s="31" customFormat="1" ht="69">
      <c r="A101" s="35">
        <v>100</v>
      </c>
      <c r="B101" s="27" t="s">
        <v>562</v>
      </c>
      <c r="C101" s="31" t="s">
        <v>49</v>
      </c>
      <c r="D101" s="31" t="s">
        <v>430</v>
      </c>
      <c r="E101" s="20">
        <v>1</v>
      </c>
    </row>
    <row r="102" spans="1:5" s="27" customFormat="1" ht="69">
      <c r="A102" s="35">
        <v>101</v>
      </c>
      <c r="B102" s="29" t="s">
        <v>563</v>
      </c>
      <c r="C102" s="29" t="s">
        <v>330</v>
      </c>
      <c r="D102" s="27" t="s">
        <v>431</v>
      </c>
      <c r="E102" s="20">
        <v>0</v>
      </c>
    </row>
    <row r="103" spans="1:5" s="27" customFormat="1" ht="27.6">
      <c r="A103" s="35">
        <v>102</v>
      </c>
      <c r="B103" s="29" t="s">
        <v>564</v>
      </c>
      <c r="C103" s="29" t="s">
        <v>58</v>
      </c>
      <c r="D103" s="27" t="s">
        <v>431</v>
      </c>
      <c r="E103" s="20">
        <v>0</v>
      </c>
    </row>
    <row r="104" spans="1:5" s="27" customFormat="1" ht="151.80000000000001">
      <c r="A104" s="35">
        <v>103</v>
      </c>
      <c r="B104" s="29" t="s">
        <v>565</v>
      </c>
      <c r="C104" s="29" t="s">
        <v>63</v>
      </c>
      <c r="D104" s="27" t="s">
        <v>431</v>
      </c>
      <c r="E104" s="20">
        <v>0</v>
      </c>
    </row>
    <row r="105" spans="1:5" s="27" customFormat="1" ht="82.8">
      <c r="A105" s="35">
        <v>104</v>
      </c>
      <c r="B105" s="29" t="s">
        <v>566</v>
      </c>
      <c r="C105" s="29" t="s">
        <v>59</v>
      </c>
      <c r="D105" s="27" t="s">
        <v>431</v>
      </c>
      <c r="E105" s="20">
        <v>0</v>
      </c>
    </row>
    <row r="106" spans="1:5" s="27" customFormat="1" ht="82.8">
      <c r="A106" s="35">
        <v>105</v>
      </c>
      <c r="B106" s="29" t="s">
        <v>326</v>
      </c>
      <c r="C106" s="29" t="s">
        <v>49</v>
      </c>
      <c r="D106" s="27" t="s">
        <v>431</v>
      </c>
      <c r="E106" s="20">
        <v>1</v>
      </c>
    </row>
    <row r="107" spans="1:5" s="27" customFormat="1" ht="82.8">
      <c r="A107" s="35">
        <v>106</v>
      </c>
      <c r="B107" s="29" t="s">
        <v>325</v>
      </c>
      <c r="C107" s="29" t="s">
        <v>65</v>
      </c>
      <c r="D107" s="27" t="s">
        <v>431</v>
      </c>
      <c r="E107" s="27">
        <v>0</v>
      </c>
    </row>
    <row r="108" spans="1:5" s="27" customFormat="1" ht="82.8">
      <c r="A108" s="35">
        <v>107</v>
      </c>
      <c r="B108" s="29" t="s">
        <v>567</v>
      </c>
      <c r="C108" s="29" t="s">
        <v>63</v>
      </c>
      <c r="D108" s="27" t="s">
        <v>431</v>
      </c>
      <c r="E108" s="20">
        <v>0</v>
      </c>
    </row>
    <row r="109" spans="1:5" s="27" customFormat="1" ht="55.2">
      <c r="A109" s="35">
        <v>108</v>
      </c>
      <c r="B109" s="29" t="s">
        <v>323</v>
      </c>
      <c r="C109" s="29" t="s">
        <v>62</v>
      </c>
      <c r="D109" s="27" t="s">
        <v>431</v>
      </c>
      <c r="E109" s="20">
        <v>0</v>
      </c>
    </row>
    <row r="110" spans="1:5" s="27" customFormat="1" ht="69">
      <c r="A110" s="35">
        <v>109</v>
      </c>
      <c r="B110" s="29" t="s">
        <v>322</v>
      </c>
      <c r="C110" s="29" t="s">
        <v>55</v>
      </c>
      <c r="D110" s="27" t="s">
        <v>431</v>
      </c>
      <c r="E110" s="20">
        <v>0</v>
      </c>
    </row>
    <row r="111" spans="1:5" s="27" customFormat="1" ht="55.2">
      <c r="A111" s="35">
        <v>110</v>
      </c>
      <c r="B111" s="29" t="s">
        <v>321</v>
      </c>
      <c r="C111" s="29" t="s">
        <v>59</v>
      </c>
      <c r="D111" s="27" t="s">
        <v>431</v>
      </c>
      <c r="E111" s="20">
        <v>0</v>
      </c>
    </row>
    <row r="112" spans="1:5" s="27" customFormat="1" ht="82.8">
      <c r="A112" s="35">
        <v>111</v>
      </c>
      <c r="B112" s="29" t="s">
        <v>320</v>
      </c>
      <c r="C112" s="29" t="s">
        <v>59</v>
      </c>
      <c r="D112" s="27" t="s">
        <v>431</v>
      </c>
      <c r="E112" s="20">
        <v>0</v>
      </c>
    </row>
    <row r="113" spans="1:5" s="27" customFormat="1" ht="41.4">
      <c r="A113" s="35">
        <v>112</v>
      </c>
      <c r="B113" s="29" t="s">
        <v>568</v>
      </c>
      <c r="C113" s="29" t="s">
        <v>59</v>
      </c>
      <c r="D113" s="27" t="s">
        <v>431</v>
      </c>
      <c r="E113" s="20">
        <v>0</v>
      </c>
    </row>
    <row r="114" spans="1:5" s="27" customFormat="1" ht="165.6">
      <c r="A114" s="35">
        <v>113</v>
      </c>
      <c r="B114" s="29" t="s">
        <v>569</v>
      </c>
      <c r="C114" s="29" t="s">
        <v>61</v>
      </c>
      <c r="D114" s="27" t="s">
        <v>431</v>
      </c>
      <c r="E114" s="20">
        <v>0</v>
      </c>
    </row>
    <row r="115" spans="1:5" s="27" customFormat="1" ht="41.4">
      <c r="A115" s="35">
        <v>114</v>
      </c>
      <c r="B115" s="29" t="s">
        <v>317</v>
      </c>
      <c r="C115" s="29" t="s">
        <v>58</v>
      </c>
      <c r="D115" s="27" t="s">
        <v>431</v>
      </c>
      <c r="E115" s="20">
        <v>0</v>
      </c>
    </row>
    <row r="116" spans="1:5" s="27" customFormat="1" ht="41.4">
      <c r="A116" s="35">
        <v>115</v>
      </c>
      <c r="B116" s="29" t="s">
        <v>316</v>
      </c>
      <c r="C116" s="29" t="s">
        <v>58</v>
      </c>
      <c r="D116" s="27" t="s">
        <v>431</v>
      </c>
      <c r="E116" s="20">
        <v>0</v>
      </c>
    </row>
    <row r="117" spans="1:5" s="27" customFormat="1" ht="193.2">
      <c r="A117" s="35">
        <v>116</v>
      </c>
      <c r="B117" s="29" t="s">
        <v>570</v>
      </c>
      <c r="C117" s="29" t="s">
        <v>61</v>
      </c>
      <c r="D117" s="27" t="s">
        <v>431</v>
      </c>
      <c r="E117" s="20">
        <v>0</v>
      </c>
    </row>
    <row r="118" spans="1:5" s="27" customFormat="1" ht="55.2">
      <c r="A118" s="35">
        <v>117</v>
      </c>
      <c r="B118" s="29" t="s">
        <v>314</v>
      </c>
      <c r="C118" s="29" t="s">
        <v>61</v>
      </c>
      <c r="D118" s="27" t="s">
        <v>431</v>
      </c>
      <c r="E118" s="20">
        <v>0</v>
      </c>
    </row>
    <row r="119" spans="1:5" s="27" customFormat="1" ht="41.4">
      <c r="A119" s="35">
        <v>118</v>
      </c>
      <c r="B119" s="29" t="s">
        <v>313</v>
      </c>
      <c r="C119" s="29" t="s">
        <v>55</v>
      </c>
      <c r="D119" s="27" t="s">
        <v>431</v>
      </c>
      <c r="E119" s="20">
        <v>0</v>
      </c>
    </row>
    <row r="120" spans="1:5" s="27" customFormat="1" ht="27.6">
      <c r="A120" s="35">
        <v>119</v>
      </c>
      <c r="B120" s="29" t="s">
        <v>312</v>
      </c>
      <c r="C120" s="29" t="s">
        <v>49</v>
      </c>
      <c r="D120" s="27" t="s">
        <v>431</v>
      </c>
      <c r="E120" s="20">
        <v>1</v>
      </c>
    </row>
    <row r="121" spans="1:5" s="27" customFormat="1" ht="41.4">
      <c r="A121" s="35">
        <v>120</v>
      </c>
      <c r="B121" s="29" t="s">
        <v>571</v>
      </c>
      <c r="C121" s="29" t="s">
        <v>61</v>
      </c>
      <c r="D121" s="27" t="s">
        <v>431</v>
      </c>
      <c r="E121" s="20">
        <v>0</v>
      </c>
    </row>
    <row r="122" spans="1:5" s="27" customFormat="1" ht="69">
      <c r="A122" s="35">
        <v>121</v>
      </c>
      <c r="B122" s="29" t="s">
        <v>310</v>
      </c>
      <c r="C122" s="29" t="s">
        <v>60</v>
      </c>
      <c r="D122" s="27" t="s">
        <v>431</v>
      </c>
      <c r="E122" s="20">
        <v>2</v>
      </c>
    </row>
    <row r="123" spans="1:5" s="27" customFormat="1" ht="138">
      <c r="A123" s="35">
        <v>122</v>
      </c>
      <c r="B123" s="29" t="s">
        <v>572</v>
      </c>
      <c r="C123" s="29" t="s">
        <v>54</v>
      </c>
      <c r="D123" s="27" t="s">
        <v>431</v>
      </c>
      <c r="E123" s="20">
        <v>3</v>
      </c>
    </row>
    <row r="124" spans="1:5" s="27" customFormat="1" ht="69">
      <c r="A124" s="35">
        <v>123</v>
      </c>
      <c r="B124" s="29" t="s">
        <v>308</v>
      </c>
      <c r="C124" s="29" t="s">
        <v>49</v>
      </c>
      <c r="D124" s="27" t="s">
        <v>431</v>
      </c>
      <c r="E124" s="20">
        <v>1</v>
      </c>
    </row>
    <row r="125" spans="1:5" s="27" customFormat="1" ht="69">
      <c r="A125" s="35">
        <v>124</v>
      </c>
      <c r="B125" s="29" t="s">
        <v>573</v>
      </c>
      <c r="C125" s="29" t="s">
        <v>49</v>
      </c>
      <c r="D125" s="27" t="s">
        <v>431</v>
      </c>
      <c r="E125" s="20">
        <v>1</v>
      </c>
    </row>
    <row r="126" spans="1:5" s="27" customFormat="1" ht="27.6">
      <c r="A126" s="35">
        <v>125</v>
      </c>
      <c r="B126" s="29" t="s">
        <v>306</v>
      </c>
      <c r="C126" s="29" t="s">
        <v>60</v>
      </c>
      <c r="D126" s="27" t="s">
        <v>431</v>
      </c>
      <c r="E126" s="20">
        <v>2</v>
      </c>
    </row>
    <row r="127" spans="1:5" s="27" customFormat="1" ht="27.6">
      <c r="A127" s="35">
        <v>126</v>
      </c>
      <c r="B127" s="29" t="s">
        <v>305</v>
      </c>
      <c r="C127" s="29" t="s">
        <v>59</v>
      </c>
      <c r="D127" s="27" t="s">
        <v>431</v>
      </c>
      <c r="E127" s="20">
        <v>0</v>
      </c>
    </row>
    <row r="128" spans="1:5" s="27" customFormat="1" ht="96.6">
      <c r="A128" s="35">
        <v>127</v>
      </c>
      <c r="B128" s="29" t="s">
        <v>574</v>
      </c>
      <c r="C128" s="29" t="s">
        <v>60</v>
      </c>
      <c r="D128" s="27" t="s">
        <v>431</v>
      </c>
      <c r="E128" s="20">
        <v>2</v>
      </c>
    </row>
    <row r="129" spans="1:5" s="27" customFormat="1" ht="82.8">
      <c r="A129" s="35">
        <v>128</v>
      </c>
      <c r="B129" s="29" t="s">
        <v>575</v>
      </c>
      <c r="C129" s="29" t="s">
        <v>56</v>
      </c>
      <c r="D129" s="27" t="s">
        <v>431</v>
      </c>
      <c r="E129" s="20">
        <v>0</v>
      </c>
    </row>
    <row r="130" spans="1:5" s="27" customFormat="1" ht="41.4">
      <c r="A130" s="35">
        <v>129</v>
      </c>
      <c r="B130" s="29" t="s">
        <v>302</v>
      </c>
      <c r="C130" s="29" t="s">
        <v>56</v>
      </c>
      <c r="D130" s="27" t="s">
        <v>431</v>
      </c>
      <c r="E130" s="20">
        <v>0</v>
      </c>
    </row>
    <row r="131" spans="1:5" s="27" customFormat="1" ht="41.4">
      <c r="A131" s="35">
        <v>130</v>
      </c>
      <c r="B131" s="29" t="s">
        <v>576</v>
      </c>
      <c r="C131" s="29" t="s">
        <v>53</v>
      </c>
      <c r="D131" s="27" t="s">
        <v>431</v>
      </c>
      <c r="E131" s="20">
        <v>0</v>
      </c>
    </row>
    <row r="132" spans="1:5" s="27" customFormat="1" ht="41.4">
      <c r="A132" s="35">
        <v>131</v>
      </c>
      <c r="B132" s="29" t="s">
        <v>300</v>
      </c>
      <c r="C132" s="29" t="s">
        <v>60</v>
      </c>
      <c r="D132" s="27" t="s">
        <v>431</v>
      </c>
      <c r="E132" s="20">
        <v>2</v>
      </c>
    </row>
    <row r="133" spans="1:5" s="27" customFormat="1" ht="27.6">
      <c r="A133" s="35">
        <v>132</v>
      </c>
      <c r="B133" s="29" t="s">
        <v>299</v>
      </c>
      <c r="C133" s="29" t="s">
        <v>60</v>
      </c>
      <c r="D133" s="27" t="s">
        <v>431</v>
      </c>
      <c r="E133" s="20">
        <v>2</v>
      </c>
    </row>
    <row r="134" spans="1:5" s="27" customFormat="1" ht="27.6">
      <c r="A134" s="35">
        <v>133</v>
      </c>
      <c r="B134" s="29" t="s">
        <v>298</v>
      </c>
      <c r="C134" s="29" t="s">
        <v>55</v>
      </c>
      <c r="D134" s="27" t="s">
        <v>431</v>
      </c>
      <c r="E134" s="20">
        <v>0</v>
      </c>
    </row>
    <row r="135" spans="1:5" s="27" customFormat="1" ht="13.8">
      <c r="A135" s="35">
        <v>134</v>
      </c>
      <c r="B135" s="29" t="s">
        <v>297</v>
      </c>
      <c r="C135" s="29" t="s">
        <v>56</v>
      </c>
      <c r="D135" s="27" t="s">
        <v>431</v>
      </c>
      <c r="E135" s="20">
        <v>0</v>
      </c>
    </row>
    <row r="136" spans="1:5" s="27" customFormat="1" ht="82.8">
      <c r="A136" s="35">
        <v>135</v>
      </c>
      <c r="B136" s="29" t="s">
        <v>577</v>
      </c>
      <c r="C136" s="29" t="s">
        <v>49</v>
      </c>
      <c r="D136" s="27" t="s">
        <v>431</v>
      </c>
      <c r="E136" s="20">
        <v>1</v>
      </c>
    </row>
    <row r="137" spans="1:5" s="27" customFormat="1" ht="27.6">
      <c r="A137" s="35">
        <v>136</v>
      </c>
      <c r="B137" s="29" t="s">
        <v>295</v>
      </c>
      <c r="C137" s="29" t="s">
        <v>59</v>
      </c>
      <c r="D137" s="27" t="s">
        <v>431</v>
      </c>
      <c r="E137" s="20">
        <v>0</v>
      </c>
    </row>
    <row r="138" spans="1:5" s="27" customFormat="1" ht="41.4">
      <c r="A138" s="35">
        <v>137</v>
      </c>
      <c r="B138" s="29" t="s">
        <v>294</v>
      </c>
      <c r="C138" s="29" t="s">
        <v>49</v>
      </c>
      <c r="D138" s="27" t="s">
        <v>431</v>
      </c>
      <c r="E138" s="20">
        <v>1</v>
      </c>
    </row>
    <row r="139" spans="1:5" s="27" customFormat="1" ht="27.6">
      <c r="A139" s="35">
        <v>138</v>
      </c>
      <c r="B139" s="29" t="s">
        <v>293</v>
      </c>
      <c r="C139" s="29" t="s">
        <v>55</v>
      </c>
      <c r="D139" s="27" t="s">
        <v>431</v>
      </c>
      <c r="E139" s="20">
        <v>0</v>
      </c>
    </row>
    <row r="140" spans="1:5" s="27" customFormat="1" ht="82.8">
      <c r="A140" s="35">
        <v>139</v>
      </c>
      <c r="B140" s="29" t="s">
        <v>292</v>
      </c>
      <c r="C140" s="29" t="s">
        <v>140</v>
      </c>
      <c r="D140" s="27" t="s">
        <v>431</v>
      </c>
      <c r="E140" s="27">
        <v>5</v>
      </c>
    </row>
    <row r="141" spans="1:5" s="27" customFormat="1" ht="13.8">
      <c r="A141" s="35">
        <v>140</v>
      </c>
      <c r="B141" s="29" t="s">
        <v>291</v>
      </c>
      <c r="C141" s="29" t="s">
        <v>49</v>
      </c>
      <c r="D141" s="27" t="s">
        <v>431</v>
      </c>
      <c r="E141" s="20">
        <v>1</v>
      </c>
    </row>
    <row r="142" spans="1:5" s="27" customFormat="1" ht="27.6">
      <c r="A142" s="35">
        <v>141</v>
      </c>
      <c r="B142" s="29" t="s">
        <v>578</v>
      </c>
      <c r="C142" s="29" t="s">
        <v>60</v>
      </c>
      <c r="D142" s="27" t="s">
        <v>431</v>
      </c>
      <c r="E142" s="20">
        <v>2</v>
      </c>
    </row>
    <row r="143" spans="1:5" s="27" customFormat="1" ht="27.6">
      <c r="A143" s="35">
        <v>142</v>
      </c>
      <c r="B143" s="29" t="s">
        <v>289</v>
      </c>
      <c r="C143" s="29" t="s">
        <v>60</v>
      </c>
      <c r="D143" s="27" t="s">
        <v>431</v>
      </c>
      <c r="E143" s="20">
        <v>2</v>
      </c>
    </row>
    <row r="144" spans="1:5" s="27" customFormat="1" ht="13.8">
      <c r="A144" s="35">
        <v>143</v>
      </c>
      <c r="B144" s="29" t="s">
        <v>288</v>
      </c>
      <c r="C144" s="29" t="s">
        <v>60</v>
      </c>
      <c r="D144" s="27" t="s">
        <v>431</v>
      </c>
      <c r="E144" s="20">
        <v>2</v>
      </c>
    </row>
    <row r="145" spans="1:5" s="27" customFormat="1" ht="69">
      <c r="A145" s="35">
        <v>144</v>
      </c>
      <c r="B145" s="29" t="s">
        <v>579</v>
      </c>
      <c r="C145" s="29" t="s">
        <v>50</v>
      </c>
      <c r="D145" s="27" t="s">
        <v>431</v>
      </c>
      <c r="E145" s="20">
        <v>0</v>
      </c>
    </row>
    <row r="146" spans="1:5" s="27" customFormat="1" ht="27.6">
      <c r="A146" s="35">
        <v>145</v>
      </c>
      <c r="B146" s="29" t="s">
        <v>286</v>
      </c>
      <c r="C146" s="29" t="s">
        <v>131</v>
      </c>
      <c r="D146" s="27" t="s">
        <v>431</v>
      </c>
      <c r="E146" s="27">
        <v>7</v>
      </c>
    </row>
    <row r="147" spans="1:5" s="27" customFormat="1" ht="27.6">
      <c r="A147" s="35">
        <v>146</v>
      </c>
      <c r="B147" s="29" t="s">
        <v>580</v>
      </c>
      <c r="C147" s="29" t="s">
        <v>61</v>
      </c>
      <c r="D147" s="27" t="s">
        <v>431</v>
      </c>
      <c r="E147" s="20">
        <v>0</v>
      </c>
    </row>
    <row r="148" spans="1:5" s="27" customFormat="1" ht="13.8">
      <c r="A148" s="35">
        <v>147</v>
      </c>
      <c r="B148" s="29" t="s">
        <v>284</v>
      </c>
      <c r="C148" s="29" t="s">
        <v>63</v>
      </c>
      <c r="D148" s="27" t="s">
        <v>431</v>
      </c>
      <c r="E148" s="20">
        <v>0</v>
      </c>
    </row>
    <row r="149" spans="1:5" s="27" customFormat="1" ht="13.8">
      <c r="A149" s="35">
        <v>148</v>
      </c>
      <c r="B149" s="29" t="s">
        <v>283</v>
      </c>
      <c r="C149" s="29" t="s">
        <v>52</v>
      </c>
      <c r="D149" s="27" t="s">
        <v>431</v>
      </c>
      <c r="E149" s="20">
        <v>0</v>
      </c>
    </row>
    <row r="150" spans="1:5" s="27" customFormat="1" ht="27.6">
      <c r="A150" s="35">
        <v>149</v>
      </c>
      <c r="B150" s="29" t="s">
        <v>581</v>
      </c>
      <c r="C150" s="29" t="s">
        <v>60</v>
      </c>
      <c r="D150" s="27" t="s">
        <v>431</v>
      </c>
      <c r="E150" s="20">
        <v>2</v>
      </c>
    </row>
    <row r="151" spans="1:5" s="27" customFormat="1" ht="82.8">
      <c r="A151" s="35">
        <v>150</v>
      </c>
      <c r="B151" s="29" t="s">
        <v>582</v>
      </c>
      <c r="C151" s="29" t="s">
        <v>49</v>
      </c>
      <c r="D151" s="27" t="s">
        <v>431</v>
      </c>
      <c r="E151" s="20">
        <v>1</v>
      </c>
    </row>
    <row r="152" spans="1:5" s="27" customFormat="1" ht="27.6">
      <c r="A152" s="35">
        <v>151</v>
      </c>
      <c r="B152" s="29" t="s">
        <v>366</v>
      </c>
      <c r="C152" s="29" t="s">
        <v>62</v>
      </c>
      <c r="D152" s="27" t="s">
        <v>432</v>
      </c>
      <c r="E152" s="20">
        <v>0</v>
      </c>
    </row>
    <row r="153" spans="1:5" s="27" customFormat="1" ht="27.6">
      <c r="A153" s="35">
        <v>152</v>
      </c>
      <c r="B153" s="29" t="s">
        <v>365</v>
      </c>
      <c r="C153" s="29" t="s">
        <v>62</v>
      </c>
      <c r="D153" s="27" t="s">
        <v>432</v>
      </c>
      <c r="E153" s="20">
        <v>0</v>
      </c>
    </row>
    <row r="154" spans="1:5" s="27" customFormat="1" ht="41.4">
      <c r="A154" s="35">
        <v>153</v>
      </c>
      <c r="B154" s="29" t="s">
        <v>364</v>
      </c>
      <c r="C154" s="29" t="s">
        <v>55</v>
      </c>
      <c r="D154" s="27" t="s">
        <v>432</v>
      </c>
      <c r="E154" s="20">
        <v>0</v>
      </c>
    </row>
    <row r="155" spans="1:5" s="27" customFormat="1" ht="69">
      <c r="A155" s="35">
        <v>154</v>
      </c>
      <c r="B155" s="29" t="s">
        <v>437</v>
      </c>
      <c r="C155" s="29" t="s">
        <v>62</v>
      </c>
      <c r="D155" s="27" t="s">
        <v>432</v>
      </c>
      <c r="E155" s="20">
        <v>0</v>
      </c>
    </row>
    <row r="156" spans="1:5" s="27" customFormat="1" ht="27.6">
      <c r="A156" s="35">
        <v>155</v>
      </c>
      <c r="B156" s="29" t="s">
        <v>363</v>
      </c>
      <c r="C156" s="29" t="s">
        <v>63</v>
      </c>
      <c r="D156" s="27" t="s">
        <v>432</v>
      </c>
      <c r="E156" s="20">
        <v>0</v>
      </c>
    </row>
    <row r="157" spans="1:5" s="27" customFormat="1" ht="41.4">
      <c r="A157" s="35">
        <v>156</v>
      </c>
      <c r="B157" s="29" t="s">
        <v>438</v>
      </c>
      <c r="C157" s="29" t="s">
        <v>55</v>
      </c>
      <c r="D157" s="27" t="s">
        <v>432</v>
      </c>
      <c r="E157" s="20">
        <v>0</v>
      </c>
    </row>
    <row r="158" spans="1:5" s="27" customFormat="1" ht="41.4">
      <c r="A158" s="35">
        <v>157</v>
      </c>
      <c r="B158" s="29" t="s">
        <v>439</v>
      </c>
      <c r="C158" s="29" t="s">
        <v>60</v>
      </c>
      <c r="D158" s="27" t="s">
        <v>432</v>
      </c>
      <c r="E158" s="20">
        <v>2</v>
      </c>
    </row>
    <row r="159" spans="1:5" s="27" customFormat="1" ht="55.2">
      <c r="A159" s="35">
        <v>158</v>
      </c>
      <c r="B159" s="29" t="s">
        <v>440</v>
      </c>
      <c r="C159" s="29" t="s">
        <v>59</v>
      </c>
      <c r="D159" s="27" t="s">
        <v>432</v>
      </c>
      <c r="E159" s="20">
        <v>0</v>
      </c>
    </row>
    <row r="160" spans="1:5" s="27" customFormat="1" ht="27.6">
      <c r="A160" s="35">
        <v>159</v>
      </c>
      <c r="B160" s="29" t="s">
        <v>362</v>
      </c>
      <c r="C160" s="29" t="s">
        <v>62</v>
      </c>
      <c r="D160" s="27" t="s">
        <v>432</v>
      </c>
      <c r="E160" s="20">
        <v>0</v>
      </c>
    </row>
    <row r="161" spans="1:5" s="27" customFormat="1" ht="13.8">
      <c r="A161" s="35">
        <v>160</v>
      </c>
      <c r="B161" s="29" t="s">
        <v>361</v>
      </c>
      <c r="C161" s="29" t="s">
        <v>49</v>
      </c>
      <c r="D161" s="27" t="s">
        <v>432</v>
      </c>
      <c r="E161" s="20">
        <v>1</v>
      </c>
    </row>
    <row r="162" spans="1:5" s="27" customFormat="1" ht="41.4">
      <c r="A162" s="35">
        <v>161</v>
      </c>
      <c r="B162" s="29" t="s">
        <v>360</v>
      </c>
      <c r="C162" s="29" t="s">
        <v>60</v>
      </c>
      <c r="D162" s="27" t="s">
        <v>432</v>
      </c>
      <c r="E162" s="20">
        <v>2</v>
      </c>
    </row>
    <row r="163" spans="1:5" s="27" customFormat="1" ht="41.4">
      <c r="A163" s="35">
        <v>162</v>
      </c>
      <c r="B163" s="29" t="s">
        <v>441</v>
      </c>
      <c r="C163" s="29" t="s">
        <v>61</v>
      </c>
      <c r="D163" s="27" t="s">
        <v>432</v>
      </c>
      <c r="E163" s="20">
        <v>0</v>
      </c>
    </row>
    <row r="164" spans="1:5" s="27" customFormat="1" ht="55.2">
      <c r="A164" s="35">
        <v>163</v>
      </c>
      <c r="B164" s="29" t="s">
        <v>442</v>
      </c>
      <c r="C164" s="29" t="s">
        <v>61</v>
      </c>
      <c r="D164" s="27" t="s">
        <v>432</v>
      </c>
      <c r="E164" s="20">
        <v>0</v>
      </c>
    </row>
    <row r="165" spans="1:5" s="27" customFormat="1" ht="41.4">
      <c r="A165" s="35">
        <v>164</v>
      </c>
      <c r="B165" s="29" t="s">
        <v>359</v>
      </c>
      <c r="C165" s="29" t="s">
        <v>54</v>
      </c>
      <c r="D165" s="27" t="s">
        <v>432</v>
      </c>
      <c r="E165" s="20">
        <v>3</v>
      </c>
    </row>
    <row r="166" spans="1:5" s="27" customFormat="1" ht="13.8">
      <c r="A166" s="35">
        <v>165</v>
      </c>
      <c r="B166" s="29" t="s">
        <v>358</v>
      </c>
      <c r="C166" s="29" t="s">
        <v>51</v>
      </c>
      <c r="D166" s="27" t="s">
        <v>432</v>
      </c>
      <c r="E166" s="20">
        <v>0</v>
      </c>
    </row>
    <row r="167" spans="1:5" s="27" customFormat="1" ht="41.4">
      <c r="A167" s="35">
        <v>166</v>
      </c>
      <c r="B167" s="29" t="s">
        <v>443</v>
      </c>
      <c r="C167" s="29" t="s">
        <v>62</v>
      </c>
      <c r="D167" s="27" t="s">
        <v>432</v>
      </c>
      <c r="E167" s="20">
        <v>0</v>
      </c>
    </row>
    <row r="168" spans="1:5" s="27" customFormat="1" ht="41.4">
      <c r="A168" s="35">
        <v>167</v>
      </c>
      <c r="B168" s="29" t="s">
        <v>357</v>
      </c>
      <c r="C168" s="29" t="s">
        <v>54</v>
      </c>
      <c r="D168" s="27" t="s">
        <v>432</v>
      </c>
      <c r="E168" s="20">
        <v>3</v>
      </c>
    </row>
    <row r="169" spans="1:5" s="27" customFormat="1" ht="41.4">
      <c r="A169" s="35">
        <v>168</v>
      </c>
      <c r="B169" s="29" t="s">
        <v>444</v>
      </c>
      <c r="C169" s="29" t="s">
        <v>55</v>
      </c>
      <c r="D169" s="27" t="s">
        <v>432</v>
      </c>
      <c r="E169" s="20">
        <v>0</v>
      </c>
    </row>
    <row r="170" spans="1:5" s="27" customFormat="1" ht="27.6">
      <c r="A170" s="35">
        <v>169</v>
      </c>
      <c r="B170" s="29" t="s">
        <v>356</v>
      </c>
      <c r="C170" s="29" t="s">
        <v>59</v>
      </c>
      <c r="D170" s="27" t="s">
        <v>432</v>
      </c>
      <c r="E170" s="20">
        <v>0</v>
      </c>
    </row>
    <row r="171" spans="1:5" s="27" customFormat="1" ht="55.2">
      <c r="A171" s="35">
        <v>170</v>
      </c>
      <c r="B171" s="29" t="s">
        <v>355</v>
      </c>
      <c r="C171" s="29" t="s">
        <v>54</v>
      </c>
      <c r="D171" s="27" t="s">
        <v>432</v>
      </c>
      <c r="E171" s="20">
        <v>3</v>
      </c>
    </row>
    <row r="172" spans="1:5" s="27" customFormat="1" ht="55.2">
      <c r="A172" s="35">
        <v>171</v>
      </c>
      <c r="B172" s="29" t="s">
        <v>445</v>
      </c>
      <c r="C172" s="29" t="s">
        <v>49</v>
      </c>
      <c r="D172" s="27" t="s">
        <v>432</v>
      </c>
      <c r="E172" s="20">
        <v>1</v>
      </c>
    </row>
    <row r="173" spans="1:5" s="27" customFormat="1" ht="13.8">
      <c r="A173" s="35">
        <v>172</v>
      </c>
      <c r="B173" s="29" t="s">
        <v>354</v>
      </c>
      <c r="C173" s="29" t="s">
        <v>59</v>
      </c>
      <c r="D173" s="27" t="s">
        <v>432</v>
      </c>
      <c r="E173" s="20">
        <v>0</v>
      </c>
    </row>
    <row r="174" spans="1:5" s="27" customFormat="1" ht="27.6">
      <c r="A174" s="35">
        <v>173</v>
      </c>
      <c r="B174" s="29" t="s">
        <v>353</v>
      </c>
      <c r="C174" s="29" t="s">
        <v>52</v>
      </c>
      <c r="D174" s="27" t="s">
        <v>432</v>
      </c>
      <c r="E174" s="20">
        <v>0</v>
      </c>
    </row>
    <row r="175" spans="1:5" s="27" customFormat="1" ht="41.4">
      <c r="A175" s="35">
        <v>174</v>
      </c>
      <c r="B175" s="29" t="s">
        <v>352</v>
      </c>
      <c r="C175" s="29" t="s">
        <v>51</v>
      </c>
      <c r="D175" s="27" t="s">
        <v>432</v>
      </c>
      <c r="E175" s="20">
        <v>0</v>
      </c>
    </row>
    <row r="176" spans="1:5" s="27" customFormat="1" ht="27.6">
      <c r="A176" s="35">
        <v>175</v>
      </c>
      <c r="B176" s="29" t="s">
        <v>446</v>
      </c>
      <c r="C176" s="29" t="s">
        <v>54</v>
      </c>
      <c r="D176" s="27" t="s">
        <v>432</v>
      </c>
      <c r="E176" s="20">
        <v>3</v>
      </c>
    </row>
    <row r="177" spans="1:5" s="27" customFormat="1" ht="55.2">
      <c r="A177" s="35">
        <v>176</v>
      </c>
      <c r="B177" s="29" t="s">
        <v>447</v>
      </c>
      <c r="C177" s="29" t="s">
        <v>50</v>
      </c>
      <c r="D177" s="27" t="s">
        <v>432</v>
      </c>
      <c r="E177" s="20">
        <v>0</v>
      </c>
    </row>
    <row r="178" spans="1:5" s="27" customFormat="1" ht="41.4">
      <c r="A178" s="35">
        <v>177</v>
      </c>
      <c r="B178" s="29" t="s">
        <v>351</v>
      </c>
      <c r="C178" s="29" t="s">
        <v>50</v>
      </c>
      <c r="D178" s="27" t="s">
        <v>432</v>
      </c>
      <c r="E178" s="20">
        <v>0</v>
      </c>
    </row>
    <row r="179" spans="1:5" s="27" customFormat="1" ht="13.8">
      <c r="A179" s="35">
        <v>178</v>
      </c>
      <c r="B179" s="29" t="s">
        <v>350</v>
      </c>
      <c r="C179" s="29" t="s">
        <v>49</v>
      </c>
      <c r="D179" s="27" t="s">
        <v>432</v>
      </c>
      <c r="E179" s="20">
        <v>1</v>
      </c>
    </row>
    <row r="180" spans="1:5" s="27" customFormat="1" ht="82.8">
      <c r="A180" s="35">
        <v>179</v>
      </c>
      <c r="B180" s="29" t="s">
        <v>349</v>
      </c>
      <c r="C180" s="29" t="s">
        <v>49</v>
      </c>
      <c r="D180" s="27" t="s">
        <v>432</v>
      </c>
      <c r="E180" s="20">
        <v>1</v>
      </c>
    </row>
    <row r="181" spans="1:5" s="27" customFormat="1" ht="69">
      <c r="A181" s="35">
        <v>180</v>
      </c>
      <c r="B181" s="29" t="s">
        <v>448</v>
      </c>
      <c r="C181" s="29" t="s">
        <v>60</v>
      </c>
      <c r="D181" s="27" t="s">
        <v>432</v>
      </c>
      <c r="E181" s="20">
        <v>2</v>
      </c>
    </row>
    <row r="182" spans="1:5" s="27" customFormat="1" ht="13.8">
      <c r="A182" s="35">
        <v>181</v>
      </c>
      <c r="B182" s="29" t="s">
        <v>348</v>
      </c>
      <c r="C182" s="29" t="s">
        <v>55</v>
      </c>
      <c r="D182" s="27" t="s">
        <v>432</v>
      </c>
      <c r="E182" s="20">
        <v>0</v>
      </c>
    </row>
    <row r="183" spans="1:5" s="27" customFormat="1" ht="41.4">
      <c r="A183" s="35">
        <v>182</v>
      </c>
      <c r="B183" s="29" t="s">
        <v>347</v>
      </c>
      <c r="C183" s="29" t="s">
        <v>49</v>
      </c>
      <c r="D183" s="27" t="s">
        <v>432</v>
      </c>
      <c r="E183" s="20">
        <v>1</v>
      </c>
    </row>
    <row r="184" spans="1:5" s="27" customFormat="1" ht="69">
      <c r="A184" s="35">
        <v>183</v>
      </c>
      <c r="B184" s="29" t="s">
        <v>346</v>
      </c>
      <c r="C184" s="29" t="s">
        <v>60</v>
      </c>
      <c r="D184" s="27" t="s">
        <v>432</v>
      </c>
      <c r="E184" s="20">
        <v>2</v>
      </c>
    </row>
    <row r="185" spans="1:5" s="27" customFormat="1" ht="69">
      <c r="A185" s="35">
        <v>184</v>
      </c>
      <c r="B185" s="29" t="s">
        <v>345</v>
      </c>
      <c r="C185" s="29" t="s">
        <v>54</v>
      </c>
      <c r="D185" s="27" t="s">
        <v>432</v>
      </c>
      <c r="E185" s="20">
        <v>3</v>
      </c>
    </row>
    <row r="186" spans="1:5" s="27" customFormat="1" ht="96.6">
      <c r="A186" s="35">
        <v>185</v>
      </c>
      <c r="B186" s="29" t="s">
        <v>344</v>
      </c>
      <c r="C186" s="29" t="s">
        <v>60</v>
      </c>
      <c r="D186" s="27" t="s">
        <v>432</v>
      </c>
      <c r="E186" s="20">
        <v>2</v>
      </c>
    </row>
    <row r="187" spans="1:5" s="27" customFormat="1" ht="41.4">
      <c r="A187" s="35">
        <v>186</v>
      </c>
      <c r="B187" s="29" t="s">
        <v>343</v>
      </c>
      <c r="C187" s="29" t="s">
        <v>54</v>
      </c>
      <c r="D187" s="27" t="s">
        <v>432</v>
      </c>
      <c r="E187" s="20">
        <v>3</v>
      </c>
    </row>
    <row r="188" spans="1:5" s="27" customFormat="1" ht="41.4">
      <c r="A188" s="35">
        <v>187</v>
      </c>
      <c r="B188" s="29" t="s">
        <v>342</v>
      </c>
      <c r="C188" s="29" t="s">
        <v>60</v>
      </c>
      <c r="D188" s="27" t="s">
        <v>432</v>
      </c>
      <c r="E188" s="20">
        <v>2</v>
      </c>
    </row>
    <row r="189" spans="1:5" s="27" customFormat="1" ht="41.4">
      <c r="A189" s="35">
        <v>188</v>
      </c>
      <c r="B189" s="29" t="s">
        <v>341</v>
      </c>
      <c r="C189" s="29" t="s">
        <v>54</v>
      </c>
      <c r="D189" s="27" t="s">
        <v>432</v>
      </c>
      <c r="E189" s="20">
        <v>3</v>
      </c>
    </row>
    <row r="190" spans="1:5" s="27" customFormat="1" ht="41.4">
      <c r="A190" s="35">
        <v>189</v>
      </c>
      <c r="B190" s="29" t="s">
        <v>449</v>
      </c>
      <c r="C190" s="29" t="s">
        <v>60</v>
      </c>
      <c r="D190" s="27" t="s">
        <v>432</v>
      </c>
      <c r="E190" s="20">
        <v>2</v>
      </c>
    </row>
    <row r="191" spans="1:5" s="27" customFormat="1" ht="27.6">
      <c r="A191" s="35">
        <v>190</v>
      </c>
      <c r="B191" s="29" t="s">
        <v>340</v>
      </c>
      <c r="C191" s="29" t="s">
        <v>49</v>
      </c>
      <c r="D191" s="27" t="s">
        <v>432</v>
      </c>
      <c r="E191" s="20">
        <v>1</v>
      </c>
    </row>
    <row r="192" spans="1:5" s="27" customFormat="1" ht="41.4">
      <c r="A192" s="35">
        <v>191</v>
      </c>
      <c r="B192" s="29" t="s">
        <v>339</v>
      </c>
      <c r="C192" s="29" t="s">
        <v>60</v>
      </c>
      <c r="D192" s="27" t="s">
        <v>432</v>
      </c>
      <c r="E192" s="20">
        <v>2</v>
      </c>
    </row>
    <row r="193" spans="1:5" s="27" customFormat="1" ht="41.4">
      <c r="A193" s="35">
        <v>192</v>
      </c>
      <c r="B193" s="29" t="s">
        <v>338</v>
      </c>
      <c r="C193" s="29" t="s">
        <v>155</v>
      </c>
      <c r="D193" s="27" t="s">
        <v>432</v>
      </c>
      <c r="E193" s="27">
        <v>8</v>
      </c>
    </row>
    <row r="194" spans="1:5" s="27" customFormat="1" ht="27.6">
      <c r="A194" s="35">
        <v>193</v>
      </c>
      <c r="B194" s="29" t="s">
        <v>450</v>
      </c>
      <c r="C194" s="29" t="s">
        <v>54</v>
      </c>
      <c r="D194" s="27" t="s">
        <v>432</v>
      </c>
      <c r="E194" s="20">
        <v>3</v>
      </c>
    </row>
    <row r="195" spans="1:5" s="27" customFormat="1" ht="27.6">
      <c r="A195" s="35">
        <v>194</v>
      </c>
      <c r="B195" s="29" t="s">
        <v>451</v>
      </c>
      <c r="C195" s="29" t="s">
        <v>60</v>
      </c>
      <c r="D195" s="27" t="s">
        <v>432</v>
      </c>
      <c r="E195" s="20">
        <v>2</v>
      </c>
    </row>
    <row r="196" spans="1:5" s="27" customFormat="1" ht="27.6">
      <c r="A196" s="35">
        <v>195</v>
      </c>
      <c r="B196" s="29" t="s">
        <v>337</v>
      </c>
      <c r="C196" s="29" t="s">
        <v>49</v>
      </c>
      <c r="D196" s="27" t="s">
        <v>432</v>
      </c>
      <c r="E196" s="20">
        <v>1</v>
      </c>
    </row>
    <row r="197" spans="1:5" s="27" customFormat="1" ht="41.4">
      <c r="A197" s="35">
        <v>196</v>
      </c>
      <c r="B197" s="29" t="s">
        <v>336</v>
      </c>
      <c r="C197" s="29" t="s">
        <v>54</v>
      </c>
      <c r="D197" s="27" t="s">
        <v>432</v>
      </c>
      <c r="E197" s="20">
        <v>3</v>
      </c>
    </row>
    <row r="198" spans="1:5" s="27" customFormat="1" ht="41.4">
      <c r="A198" s="35">
        <v>197</v>
      </c>
      <c r="B198" s="29" t="s">
        <v>335</v>
      </c>
      <c r="C198" s="29" t="s">
        <v>54</v>
      </c>
      <c r="D198" s="27" t="s">
        <v>432</v>
      </c>
      <c r="E198" s="20">
        <v>3</v>
      </c>
    </row>
    <row r="199" spans="1:5" s="27" customFormat="1" ht="27.6">
      <c r="A199" s="35">
        <v>198</v>
      </c>
      <c r="B199" s="29" t="s">
        <v>334</v>
      </c>
      <c r="C199" s="29" t="s">
        <v>60</v>
      </c>
      <c r="D199" s="27" t="s">
        <v>432</v>
      </c>
      <c r="E199" s="20">
        <v>2</v>
      </c>
    </row>
    <row r="200" spans="1:5" s="27" customFormat="1" ht="27.6">
      <c r="A200" s="35">
        <v>199</v>
      </c>
      <c r="B200" s="29" t="s">
        <v>333</v>
      </c>
      <c r="C200" s="29" t="s">
        <v>131</v>
      </c>
      <c r="D200" s="27" t="s">
        <v>432</v>
      </c>
      <c r="E200" s="27">
        <v>7</v>
      </c>
    </row>
    <row r="201" spans="1:5" s="27" customFormat="1" ht="27.6">
      <c r="A201" s="35">
        <v>200</v>
      </c>
      <c r="B201" s="29" t="s">
        <v>332</v>
      </c>
      <c r="C201" s="29" t="s">
        <v>54</v>
      </c>
      <c r="D201" s="27" t="s">
        <v>432</v>
      </c>
      <c r="E201" s="20">
        <v>3</v>
      </c>
    </row>
  </sheetData>
  <autoFilter ref="A1:E1" xr:uid="{2D3E4E69-AF01-4BEB-A3E5-5C6605A1889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3585E-CC17-44FA-8C89-C7684D68BB51}">
  <sheetPr codeName="Sheet2"/>
  <dimension ref="A1:H201"/>
  <sheetViews>
    <sheetView workbookViewId="0">
      <selection activeCell="B4" sqref="B4"/>
    </sheetView>
  </sheetViews>
  <sheetFormatPr defaultColWidth="9.109375" defaultRowHeight="13.8"/>
  <cols>
    <col min="1" max="1" width="5.88671875" style="35" bestFit="1" customWidth="1"/>
    <col min="2" max="2" width="130.5546875" style="20" customWidth="1"/>
    <col min="3" max="3" width="15.5546875" style="20" customWidth="1"/>
    <col min="4" max="4" width="10" style="35" bestFit="1" customWidth="1"/>
    <col min="5" max="5" width="11.77734375" style="35" bestFit="1" customWidth="1"/>
    <col min="6" max="16384" width="9.109375" style="35"/>
  </cols>
  <sheetData>
    <row r="1" spans="1:8" s="34" customFormat="1">
      <c r="A1" s="34" t="s">
        <v>584</v>
      </c>
      <c r="B1" s="33" t="s">
        <v>421</v>
      </c>
      <c r="C1" s="33" t="s">
        <v>423</v>
      </c>
      <c r="D1" s="34" t="s">
        <v>424</v>
      </c>
      <c r="E1" s="34" t="s">
        <v>422</v>
      </c>
      <c r="F1" s="34" t="s">
        <v>583</v>
      </c>
    </row>
    <row r="2" spans="1:8" ht="41.4">
      <c r="A2" s="35">
        <v>1</v>
      </c>
      <c r="B2" s="20" t="s">
        <v>414</v>
      </c>
      <c r="C2" s="20" t="s">
        <v>415</v>
      </c>
      <c r="D2" s="35" t="s">
        <v>425</v>
      </c>
      <c r="E2" s="35">
        <v>0</v>
      </c>
      <c r="F2" s="41">
        <f t="shared" ref="F2:F33" si="0">LEN($B2)-LEN(SUBSTITUTE($B2," ",""))+1</f>
        <v>52</v>
      </c>
      <c r="H2" s="34">
        <v>1</v>
      </c>
    </row>
    <row r="3" spans="1:8" ht="138">
      <c r="A3" s="35">
        <v>2</v>
      </c>
      <c r="B3" s="20" t="s">
        <v>452</v>
      </c>
      <c r="C3" s="20" t="s">
        <v>63</v>
      </c>
      <c r="D3" s="35" t="s">
        <v>425</v>
      </c>
      <c r="E3" s="35">
        <v>0</v>
      </c>
      <c r="F3" s="41">
        <f t="shared" si="0"/>
        <v>209</v>
      </c>
      <c r="H3" s="34">
        <v>195</v>
      </c>
    </row>
    <row r="4" spans="1:8" ht="82.8">
      <c r="A4" s="35">
        <v>3</v>
      </c>
      <c r="B4" s="20" t="s">
        <v>453</v>
      </c>
      <c r="C4" s="20" t="s">
        <v>370</v>
      </c>
      <c r="D4" s="35" t="s">
        <v>425</v>
      </c>
      <c r="E4" s="35">
        <v>0</v>
      </c>
      <c r="F4" s="41">
        <f t="shared" si="0"/>
        <v>144</v>
      </c>
      <c r="H4" s="34">
        <v>85</v>
      </c>
    </row>
    <row r="5" spans="1:8" ht="110.4">
      <c r="A5" s="35">
        <v>4</v>
      </c>
      <c r="B5" s="20" t="s">
        <v>454</v>
      </c>
      <c r="C5" s="20" t="s">
        <v>63</v>
      </c>
      <c r="D5" s="35" t="s">
        <v>425</v>
      </c>
      <c r="E5" s="35">
        <v>0</v>
      </c>
      <c r="F5" s="41">
        <f t="shared" si="0"/>
        <v>164</v>
      </c>
      <c r="H5" s="34">
        <v>43</v>
      </c>
    </row>
    <row r="6" spans="1:8" ht="41.4">
      <c r="A6" s="35">
        <v>5</v>
      </c>
      <c r="B6" s="20" t="s">
        <v>372</v>
      </c>
      <c r="C6" s="20" t="s">
        <v>63</v>
      </c>
      <c r="D6" s="35" t="s">
        <v>425</v>
      </c>
      <c r="E6" s="35">
        <v>0</v>
      </c>
      <c r="F6" s="41">
        <f t="shared" si="0"/>
        <v>60</v>
      </c>
      <c r="H6" s="34">
        <v>142</v>
      </c>
    </row>
    <row r="7" spans="1:8" ht="82.8">
      <c r="A7" s="35">
        <v>6</v>
      </c>
      <c r="B7" s="20" t="s">
        <v>373</v>
      </c>
      <c r="C7" s="20" t="s">
        <v>54</v>
      </c>
      <c r="D7" s="35" t="s">
        <v>425</v>
      </c>
      <c r="E7" s="35">
        <v>3</v>
      </c>
      <c r="F7" s="41">
        <f t="shared" si="0"/>
        <v>134</v>
      </c>
      <c r="H7" s="34">
        <v>58</v>
      </c>
    </row>
    <row r="8" spans="1:8" ht="138">
      <c r="A8" s="35">
        <v>7</v>
      </c>
      <c r="B8" s="20" t="s">
        <v>455</v>
      </c>
      <c r="C8" s="20" t="s">
        <v>50</v>
      </c>
      <c r="D8" s="35" t="s">
        <v>425</v>
      </c>
      <c r="E8" s="35">
        <v>0</v>
      </c>
      <c r="F8" s="41">
        <f t="shared" si="0"/>
        <v>279</v>
      </c>
      <c r="H8" s="34">
        <v>12</v>
      </c>
    </row>
    <row r="9" spans="1:8" ht="96.6">
      <c r="A9" s="35">
        <v>8</v>
      </c>
      <c r="B9" s="20" t="s">
        <v>375</v>
      </c>
      <c r="C9" s="20" t="s">
        <v>60</v>
      </c>
      <c r="D9" s="35" t="s">
        <v>425</v>
      </c>
      <c r="E9" s="35">
        <v>2</v>
      </c>
      <c r="F9" s="41">
        <f t="shared" si="0"/>
        <v>152</v>
      </c>
      <c r="H9" s="34">
        <v>136</v>
      </c>
    </row>
    <row r="10" spans="1:8" ht="27.6">
      <c r="A10" s="35">
        <v>9</v>
      </c>
      <c r="B10" s="20" t="s">
        <v>456</v>
      </c>
      <c r="C10" s="20" t="s">
        <v>63</v>
      </c>
      <c r="D10" s="35" t="s">
        <v>425</v>
      </c>
      <c r="E10" s="35">
        <v>0</v>
      </c>
      <c r="F10" s="41">
        <f t="shared" si="0"/>
        <v>24</v>
      </c>
      <c r="H10" s="34">
        <v>63</v>
      </c>
    </row>
    <row r="11" spans="1:8" ht="27.6">
      <c r="A11" s="35">
        <v>10</v>
      </c>
      <c r="B11" s="20" t="s">
        <v>377</v>
      </c>
      <c r="C11" s="20" t="s">
        <v>378</v>
      </c>
      <c r="D11" s="35" t="s">
        <v>425</v>
      </c>
      <c r="E11" s="35">
        <v>1</v>
      </c>
      <c r="F11" s="41">
        <f t="shared" si="0"/>
        <v>41</v>
      </c>
      <c r="H11" s="34">
        <v>55</v>
      </c>
    </row>
    <row r="12" spans="1:8" ht="27.6">
      <c r="A12" s="35">
        <v>11</v>
      </c>
      <c r="B12" s="20" t="s">
        <v>403</v>
      </c>
      <c r="C12" s="20" t="s">
        <v>50</v>
      </c>
      <c r="D12" s="35" t="s">
        <v>425</v>
      </c>
      <c r="E12" s="35">
        <v>0</v>
      </c>
      <c r="F12" s="41">
        <f t="shared" si="0"/>
        <v>32</v>
      </c>
      <c r="H12" s="34">
        <v>101</v>
      </c>
    </row>
    <row r="13" spans="1:8" ht="82.8">
      <c r="A13" s="35">
        <v>12</v>
      </c>
      <c r="B13" s="20" t="s">
        <v>457</v>
      </c>
      <c r="C13" s="20" t="s">
        <v>52</v>
      </c>
      <c r="D13" s="35" t="s">
        <v>425</v>
      </c>
      <c r="E13" s="35">
        <v>0</v>
      </c>
      <c r="F13" s="41">
        <f t="shared" si="0"/>
        <v>143</v>
      </c>
      <c r="H13" s="34">
        <v>49</v>
      </c>
    </row>
    <row r="14" spans="1:8" ht="55.2">
      <c r="A14" s="35">
        <v>13</v>
      </c>
      <c r="B14" s="20" t="s">
        <v>381</v>
      </c>
      <c r="C14" s="20" t="s">
        <v>49</v>
      </c>
      <c r="D14" s="35" t="s">
        <v>425</v>
      </c>
      <c r="E14" s="35">
        <v>1</v>
      </c>
      <c r="F14" s="41">
        <f t="shared" si="0"/>
        <v>71</v>
      </c>
      <c r="H14" s="34">
        <v>192</v>
      </c>
    </row>
    <row r="15" spans="1:8" ht="27.6">
      <c r="A15" s="35">
        <v>14</v>
      </c>
      <c r="B15" s="20" t="s">
        <v>386</v>
      </c>
      <c r="C15" s="20" t="s">
        <v>56</v>
      </c>
      <c r="D15" s="35" t="s">
        <v>425</v>
      </c>
      <c r="E15" s="35">
        <v>0</v>
      </c>
      <c r="F15" s="41">
        <f t="shared" si="0"/>
        <v>40</v>
      </c>
      <c r="H15" s="34">
        <v>30</v>
      </c>
    </row>
    <row r="16" spans="1:8">
      <c r="A16" s="35">
        <v>15</v>
      </c>
      <c r="B16" s="20" t="s">
        <v>387</v>
      </c>
      <c r="C16" s="20" t="s">
        <v>56</v>
      </c>
      <c r="D16" s="35" t="s">
        <v>425</v>
      </c>
      <c r="E16" s="35">
        <v>0</v>
      </c>
      <c r="F16" s="41">
        <f t="shared" si="0"/>
        <v>19</v>
      </c>
      <c r="H16" s="34">
        <v>34</v>
      </c>
    </row>
    <row r="17" spans="1:8" ht="55.2">
      <c r="A17" s="35">
        <v>16</v>
      </c>
      <c r="B17" s="20" t="s">
        <v>384</v>
      </c>
      <c r="C17" s="20" t="s">
        <v>54</v>
      </c>
      <c r="D17" s="35" t="s">
        <v>425</v>
      </c>
      <c r="E17" s="35">
        <v>3</v>
      </c>
      <c r="F17" s="41">
        <f t="shared" si="0"/>
        <v>80</v>
      </c>
      <c r="H17" s="34">
        <v>17</v>
      </c>
    </row>
    <row r="18" spans="1:8" ht="55.2">
      <c r="A18" s="35">
        <v>17</v>
      </c>
      <c r="B18" s="20" t="s">
        <v>458</v>
      </c>
      <c r="C18" s="20" t="s">
        <v>61</v>
      </c>
      <c r="D18" s="35" t="s">
        <v>425</v>
      </c>
      <c r="E18" s="35">
        <v>0</v>
      </c>
      <c r="F18" s="41">
        <f t="shared" si="0"/>
        <v>74</v>
      </c>
      <c r="H18" s="34">
        <v>102</v>
      </c>
    </row>
    <row r="19" spans="1:8" ht="55.2">
      <c r="A19" s="35">
        <v>18</v>
      </c>
      <c r="B19" s="20" t="s">
        <v>380</v>
      </c>
      <c r="C19" s="20" t="s">
        <v>61</v>
      </c>
      <c r="D19" s="35" t="s">
        <v>425</v>
      </c>
      <c r="E19" s="35">
        <v>0</v>
      </c>
      <c r="F19" s="41">
        <f t="shared" si="0"/>
        <v>84</v>
      </c>
      <c r="H19" s="34">
        <v>70</v>
      </c>
    </row>
    <row r="20" spans="1:8" ht="27.6">
      <c r="A20" s="35">
        <v>19</v>
      </c>
      <c r="B20" s="20" t="s">
        <v>374</v>
      </c>
      <c r="C20" s="20" t="s">
        <v>55</v>
      </c>
      <c r="D20" s="35" t="s">
        <v>425</v>
      </c>
      <c r="E20" s="35">
        <v>0</v>
      </c>
      <c r="F20" s="41">
        <f t="shared" si="0"/>
        <v>47</v>
      </c>
      <c r="H20" s="34">
        <v>94</v>
      </c>
    </row>
    <row r="21" spans="1:8" ht="82.8">
      <c r="A21" s="35">
        <v>20</v>
      </c>
      <c r="B21" s="20" t="s">
        <v>388</v>
      </c>
      <c r="C21" s="20" t="s">
        <v>389</v>
      </c>
      <c r="D21" s="35" t="s">
        <v>425</v>
      </c>
      <c r="E21" s="35">
        <v>2</v>
      </c>
      <c r="F21" s="41">
        <f t="shared" si="0"/>
        <v>143</v>
      </c>
      <c r="H21" s="34">
        <v>118</v>
      </c>
    </row>
    <row r="22" spans="1:8" ht="27.6">
      <c r="A22" s="35">
        <v>21</v>
      </c>
      <c r="B22" s="20" t="s">
        <v>399</v>
      </c>
      <c r="C22" s="20" t="s">
        <v>55</v>
      </c>
      <c r="D22" s="35" t="s">
        <v>425</v>
      </c>
      <c r="E22" s="35">
        <v>0</v>
      </c>
      <c r="F22" s="41">
        <f t="shared" si="0"/>
        <v>23</v>
      </c>
      <c r="H22" s="34">
        <v>52</v>
      </c>
    </row>
    <row r="23" spans="1:8">
      <c r="A23" s="35">
        <v>22</v>
      </c>
      <c r="B23" s="20" t="s">
        <v>391</v>
      </c>
      <c r="C23" s="20" t="s">
        <v>59</v>
      </c>
      <c r="D23" s="35" t="s">
        <v>425</v>
      </c>
      <c r="E23" s="35">
        <v>0</v>
      </c>
      <c r="F23" s="41">
        <f t="shared" si="0"/>
        <v>20</v>
      </c>
      <c r="H23" s="34">
        <v>35</v>
      </c>
    </row>
    <row r="24" spans="1:8" ht="41.4">
      <c r="A24" s="35">
        <v>23</v>
      </c>
      <c r="B24" s="20" t="s">
        <v>459</v>
      </c>
      <c r="C24" s="20" t="s">
        <v>62</v>
      </c>
      <c r="D24" s="35" t="s">
        <v>425</v>
      </c>
      <c r="E24" s="35">
        <v>0</v>
      </c>
      <c r="F24" s="41">
        <f t="shared" si="0"/>
        <v>64</v>
      </c>
      <c r="H24" s="34">
        <v>161</v>
      </c>
    </row>
    <row r="25" spans="1:8" ht="41.4">
      <c r="A25" s="35">
        <v>24</v>
      </c>
      <c r="B25" s="20" t="s">
        <v>460</v>
      </c>
      <c r="C25" s="20" t="s">
        <v>49</v>
      </c>
      <c r="D25" s="35" t="s">
        <v>425</v>
      </c>
      <c r="E25" s="35">
        <v>1</v>
      </c>
      <c r="F25" s="41">
        <f t="shared" si="0"/>
        <v>48</v>
      </c>
      <c r="H25" s="34">
        <v>180</v>
      </c>
    </row>
    <row r="26" spans="1:8" ht="55.2">
      <c r="A26" s="35">
        <v>25</v>
      </c>
      <c r="B26" s="20" t="s">
        <v>394</v>
      </c>
      <c r="C26" s="20" t="s">
        <v>49</v>
      </c>
      <c r="D26" s="35" t="s">
        <v>425</v>
      </c>
      <c r="E26" s="35">
        <v>1</v>
      </c>
      <c r="F26" s="41">
        <f t="shared" si="0"/>
        <v>85</v>
      </c>
      <c r="H26" s="34">
        <v>176</v>
      </c>
    </row>
    <row r="27" spans="1:8">
      <c r="A27" s="35">
        <v>26</v>
      </c>
      <c r="B27" s="20" t="s">
        <v>392</v>
      </c>
      <c r="C27" s="20" t="s">
        <v>62</v>
      </c>
      <c r="D27" s="35" t="s">
        <v>425</v>
      </c>
      <c r="E27" s="35">
        <v>0</v>
      </c>
      <c r="F27" s="41">
        <f t="shared" si="0"/>
        <v>20</v>
      </c>
      <c r="H27" s="34">
        <v>191</v>
      </c>
    </row>
    <row r="28" spans="1:8" ht="409.6">
      <c r="A28" s="35">
        <v>27</v>
      </c>
      <c r="B28" s="20" t="s">
        <v>396</v>
      </c>
      <c r="C28" s="20" t="s">
        <v>49</v>
      </c>
      <c r="D28" s="35" t="s">
        <v>425</v>
      </c>
      <c r="E28" s="35">
        <v>1</v>
      </c>
      <c r="F28" s="41">
        <f t="shared" si="0"/>
        <v>784</v>
      </c>
      <c r="H28" s="34">
        <v>188</v>
      </c>
    </row>
    <row r="29" spans="1:8" ht="138">
      <c r="A29" s="35">
        <v>28</v>
      </c>
      <c r="B29" s="20" t="s">
        <v>395</v>
      </c>
      <c r="C29" s="20" t="s">
        <v>51</v>
      </c>
      <c r="D29" s="35" t="s">
        <v>425</v>
      </c>
      <c r="E29" s="35">
        <v>0</v>
      </c>
      <c r="F29" s="41">
        <f t="shared" si="0"/>
        <v>273</v>
      </c>
      <c r="H29" s="34">
        <v>29</v>
      </c>
    </row>
    <row r="30" spans="1:8" ht="248.4">
      <c r="A30" s="35">
        <v>29</v>
      </c>
      <c r="B30" s="20" t="s">
        <v>461</v>
      </c>
      <c r="C30" s="20" t="s">
        <v>51</v>
      </c>
      <c r="D30" s="35" t="s">
        <v>425</v>
      </c>
      <c r="E30" s="35">
        <v>0</v>
      </c>
      <c r="F30" s="41">
        <f t="shared" si="0"/>
        <v>388</v>
      </c>
      <c r="H30" s="34">
        <v>71</v>
      </c>
    </row>
    <row r="31" spans="1:8" ht="27.6">
      <c r="A31" s="35">
        <v>30</v>
      </c>
      <c r="B31" s="20" t="s">
        <v>407</v>
      </c>
      <c r="C31" s="20" t="s">
        <v>51</v>
      </c>
      <c r="D31" s="35" t="s">
        <v>425</v>
      </c>
      <c r="E31" s="35">
        <v>0</v>
      </c>
      <c r="F31" s="41">
        <f t="shared" si="0"/>
        <v>32</v>
      </c>
      <c r="H31" s="34">
        <v>21</v>
      </c>
    </row>
    <row r="32" spans="1:8" ht="55.2">
      <c r="A32" s="35">
        <v>31</v>
      </c>
      <c r="B32" s="20" t="s">
        <v>400</v>
      </c>
      <c r="C32" s="20" t="s">
        <v>49</v>
      </c>
      <c r="D32" s="35" t="s">
        <v>425</v>
      </c>
      <c r="E32" s="35">
        <v>1</v>
      </c>
      <c r="F32" s="41">
        <f t="shared" si="0"/>
        <v>99</v>
      </c>
      <c r="H32" s="34">
        <v>62</v>
      </c>
    </row>
    <row r="33" spans="1:8" ht="82.8">
      <c r="A33" s="35">
        <v>32</v>
      </c>
      <c r="B33" s="20" t="s">
        <v>401</v>
      </c>
      <c r="C33" s="20" t="s">
        <v>49</v>
      </c>
      <c r="D33" s="35" t="s">
        <v>425</v>
      </c>
      <c r="E33" s="35">
        <v>1</v>
      </c>
      <c r="F33" s="41">
        <f t="shared" si="0"/>
        <v>133</v>
      </c>
      <c r="H33" s="34">
        <v>162</v>
      </c>
    </row>
    <row r="34" spans="1:8" ht="27.6">
      <c r="A34" s="35">
        <v>33</v>
      </c>
      <c r="B34" s="20" t="s">
        <v>402</v>
      </c>
      <c r="C34" s="20" t="s">
        <v>49</v>
      </c>
      <c r="D34" s="35" t="s">
        <v>425</v>
      </c>
      <c r="E34" s="35">
        <v>1</v>
      </c>
      <c r="F34" s="41">
        <f t="shared" ref="F34:F65" si="1">LEN($B34)-LEN(SUBSTITUTE($B34," ",""))+1</f>
        <v>43</v>
      </c>
      <c r="H34" s="34">
        <v>112</v>
      </c>
    </row>
    <row r="35" spans="1:8" ht="41.4">
      <c r="A35" s="35">
        <v>34</v>
      </c>
      <c r="B35" s="20" t="s">
        <v>383</v>
      </c>
      <c r="C35" s="20" t="s">
        <v>53</v>
      </c>
      <c r="D35" s="35" t="s">
        <v>425</v>
      </c>
      <c r="E35" s="35">
        <v>0</v>
      </c>
      <c r="F35" s="41">
        <f t="shared" si="1"/>
        <v>64</v>
      </c>
      <c r="H35" s="34">
        <v>50</v>
      </c>
    </row>
    <row r="36" spans="1:8" ht="96.6">
      <c r="A36" s="35">
        <v>35</v>
      </c>
      <c r="B36" s="20" t="s">
        <v>404</v>
      </c>
      <c r="C36" s="20" t="s">
        <v>60</v>
      </c>
      <c r="D36" s="35" t="s">
        <v>425</v>
      </c>
      <c r="E36" s="35">
        <v>2</v>
      </c>
      <c r="F36" s="41">
        <f t="shared" si="1"/>
        <v>151</v>
      </c>
      <c r="H36" s="34">
        <v>20</v>
      </c>
    </row>
    <row r="37" spans="1:8" ht="165.6">
      <c r="A37" s="35">
        <v>36</v>
      </c>
      <c r="B37" s="20" t="s">
        <v>462</v>
      </c>
      <c r="C37" s="20" t="s">
        <v>49</v>
      </c>
      <c r="D37" s="35" t="s">
        <v>425</v>
      </c>
      <c r="E37" s="35">
        <v>1</v>
      </c>
      <c r="F37" s="41">
        <f t="shared" si="1"/>
        <v>261</v>
      </c>
      <c r="H37" s="34">
        <v>163</v>
      </c>
    </row>
    <row r="38" spans="1:8" ht="165.6">
      <c r="A38" s="35">
        <v>37</v>
      </c>
      <c r="B38" s="20" t="s">
        <v>406</v>
      </c>
      <c r="C38" s="20" t="s">
        <v>378</v>
      </c>
      <c r="D38" s="35" t="s">
        <v>425</v>
      </c>
      <c r="E38" s="35">
        <v>1</v>
      </c>
      <c r="F38" s="41">
        <f t="shared" si="1"/>
        <v>258</v>
      </c>
      <c r="H38" s="34">
        <v>172</v>
      </c>
    </row>
    <row r="39" spans="1:8" ht="69">
      <c r="A39" s="35">
        <v>38</v>
      </c>
      <c r="B39" s="20" t="s">
        <v>463</v>
      </c>
      <c r="C39" s="20" t="s">
        <v>53</v>
      </c>
      <c r="D39" s="35" t="s">
        <v>425</v>
      </c>
      <c r="E39" s="35">
        <v>0</v>
      </c>
      <c r="F39" s="41">
        <f t="shared" si="1"/>
        <v>119</v>
      </c>
      <c r="H39" s="34">
        <v>53</v>
      </c>
    </row>
    <row r="40" spans="1:8" ht="55.2">
      <c r="A40" s="35">
        <v>39</v>
      </c>
      <c r="B40" s="20" t="s">
        <v>408</v>
      </c>
      <c r="C40" s="20" t="s">
        <v>49</v>
      </c>
      <c r="D40" s="35" t="s">
        <v>425</v>
      </c>
      <c r="E40" s="35">
        <v>1</v>
      </c>
      <c r="F40" s="41">
        <f t="shared" si="1"/>
        <v>100</v>
      </c>
      <c r="H40" s="34">
        <v>138</v>
      </c>
    </row>
    <row r="41" spans="1:8" ht="220.8">
      <c r="A41" s="35">
        <v>40</v>
      </c>
      <c r="B41" s="20" t="s">
        <v>409</v>
      </c>
      <c r="C41" s="20" t="s">
        <v>49</v>
      </c>
      <c r="D41" s="35" t="s">
        <v>425</v>
      </c>
      <c r="E41" s="35">
        <v>1</v>
      </c>
      <c r="F41" s="41">
        <f t="shared" si="1"/>
        <v>346</v>
      </c>
      <c r="H41" s="34">
        <v>103</v>
      </c>
    </row>
    <row r="42" spans="1:8" ht="55.2">
      <c r="A42" s="35">
        <v>41</v>
      </c>
      <c r="B42" s="20" t="s">
        <v>410</v>
      </c>
      <c r="C42" s="20" t="s">
        <v>49</v>
      </c>
      <c r="D42" s="35" t="s">
        <v>425</v>
      </c>
      <c r="E42" s="35">
        <v>1</v>
      </c>
      <c r="F42" s="41">
        <f t="shared" si="1"/>
        <v>96</v>
      </c>
      <c r="H42" s="34">
        <v>76</v>
      </c>
    </row>
    <row r="43" spans="1:8" ht="27.6">
      <c r="A43" s="35">
        <v>42</v>
      </c>
      <c r="B43" s="20" t="s">
        <v>464</v>
      </c>
      <c r="C43" s="20" t="s">
        <v>49</v>
      </c>
      <c r="D43" s="35" t="s">
        <v>425</v>
      </c>
      <c r="E43" s="35">
        <v>1</v>
      </c>
      <c r="F43" s="41">
        <f t="shared" si="1"/>
        <v>46</v>
      </c>
      <c r="H43" s="34">
        <v>80</v>
      </c>
    </row>
    <row r="44" spans="1:8" ht="276">
      <c r="A44" s="35">
        <v>43</v>
      </c>
      <c r="B44" s="20" t="s">
        <v>465</v>
      </c>
      <c r="C44" s="20" t="s">
        <v>378</v>
      </c>
      <c r="D44" s="35" t="s">
        <v>425</v>
      </c>
      <c r="E44" s="35">
        <v>1</v>
      </c>
      <c r="F44" s="41">
        <f t="shared" si="1"/>
        <v>534</v>
      </c>
      <c r="H44" s="34">
        <v>18</v>
      </c>
    </row>
    <row r="45" spans="1:8" ht="55.2">
      <c r="A45" s="35">
        <v>44</v>
      </c>
      <c r="B45" s="20" t="s">
        <v>413</v>
      </c>
      <c r="C45" s="20" t="s">
        <v>49</v>
      </c>
      <c r="D45" s="35" t="s">
        <v>425</v>
      </c>
      <c r="E45" s="35">
        <v>1</v>
      </c>
      <c r="F45" s="41">
        <f t="shared" si="1"/>
        <v>77</v>
      </c>
      <c r="H45" s="34">
        <v>95</v>
      </c>
    </row>
    <row r="46" spans="1:8" ht="41.4">
      <c r="A46" s="35">
        <v>45</v>
      </c>
      <c r="B46" s="20" t="s">
        <v>398</v>
      </c>
      <c r="C46" s="20" t="s">
        <v>53</v>
      </c>
      <c r="D46" s="35" t="s">
        <v>425</v>
      </c>
      <c r="E46" s="35">
        <v>0</v>
      </c>
      <c r="F46" s="41">
        <f t="shared" si="1"/>
        <v>57</v>
      </c>
      <c r="H46" s="34">
        <v>129</v>
      </c>
    </row>
    <row r="47" spans="1:8" ht="124.2">
      <c r="A47" s="35">
        <v>46</v>
      </c>
      <c r="B47" s="20" t="s">
        <v>416</v>
      </c>
      <c r="C47" s="20" t="s">
        <v>49</v>
      </c>
      <c r="D47" s="35" t="s">
        <v>425</v>
      </c>
      <c r="E47" s="35">
        <v>1</v>
      </c>
      <c r="F47" s="41">
        <f t="shared" si="1"/>
        <v>197</v>
      </c>
      <c r="H47" s="34">
        <v>93</v>
      </c>
    </row>
    <row r="48" spans="1:8" ht="69">
      <c r="A48" s="35">
        <v>47</v>
      </c>
      <c r="B48" s="20" t="s">
        <v>466</v>
      </c>
      <c r="C48" s="20" t="s">
        <v>49</v>
      </c>
      <c r="D48" s="35" t="s">
        <v>425</v>
      </c>
      <c r="E48" s="35">
        <v>1</v>
      </c>
      <c r="F48" s="41">
        <f t="shared" si="1"/>
        <v>127</v>
      </c>
      <c r="H48" s="34">
        <v>170</v>
      </c>
    </row>
    <row r="49" spans="1:8" ht="124.2">
      <c r="A49" s="35">
        <v>48</v>
      </c>
      <c r="B49" s="20" t="s">
        <v>418</v>
      </c>
      <c r="C49" s="20" t="s">
        <v>60</v>
      </c>
      <c r="D49" s="35" t="s">
        <v>425</v>
      </c>
      <c r="E49" s="35">
        <v>2</v>
      </c>
      <c r="F49" s="41">
        <f t="shared" si="1"/>
        <v>165</v>
      </c>
      <c r="H49" s="34">
        <v>174</v>
      </c>
    </row>
    <row r="50" spans="1:8" ht="27.6">
      <c r="A50" s="35">
        <v>49</v>
      </c>
      <c r="B50" s="20" t="s">
        <v>419</v>
      </c>
      <c r="C50" s="20" t="s">
        <v>53</v>
      </c>
      <c r="D50" s="35" t="s">
        <v>425</v>
      </c>
      <c r="E50" s="35">
        <v>0</v>
      </c>
      <c r="F50" s="41">
        <f t="shared" si="1"/>
        <v>33</v>
      </c>
      <c r="H50" s="34">
        <v>60</v>
      </c>
    </row>
    <row r="51" spans="1:8" ht="289.8">
      <c r="A51" s="35">
        <v>50</v>
      </c>
      <c r="B51" s="20" t="s">
        <v>420</v>
      </c>
      <c r="C51" s="20" t="s">
        <v>49</v>
      </c>
      <c r="D51" s="35" t="s">
        <v>425</v>
      </c>
      <c r="E51" s="35">
        <v>1</v>
      </c>
      <c r="F51" s="41">
        <f t="shared" si="1"/>
        <v>459</v>
      </c>
      <c r="H51" s="34">
        <v>3</v>
      </c>
    </row>
    <row r="52" spans="1:8" s="30" customFormat="1" ht="248.4">
      <c r="A52" s="35">
        <v>51</v>
      </c>
      <c r="B52" s="20" t="s">
        <v>467</v>
      </c>
      <c r="C52" s="20" t="s">
        <v>62</v>
      </c>
      <c r="D52" s="20" t="s">
        <v>426</v>
      </c>
      <c r="E52" s="35">
        <v>0</v>
      </c>
      <c r="F52" s="41">
        <f t="shared" si="1"/>
        <v>422</v>
      </c>
      <c r="H52" s="34">
        <v>190</v>
      </c>
    </row>
    <row r="53" spans="1:8" s="30" customFormat="1" ht="69">
      <c r="A53" s="35">
        <v>52</v>
      </c>
      <c r="B53" s="20" t="s">
        <v>1</v>
      </c>
      <c r="C53" s="20" t="s">
        <v>66</v>
      </c>
      <c r="D53" s="20" t="s">
        <v>426</v>
      </c>
      <c r="E53" s="35">
        <v>0</v>
      </c>
      <c r="F53" s="41">
        <f t="shared" si="1"/>
        <v>125</v>
      </c>
      <c r="H53" s="34">
        <v>105</v>
      </c>
    </row>
    <row r="54" spans="1:8" s="30" customFormat="1" ht="248.4">
      <c r="A54" s="35">
        <v>53</v>
      </c>
      <c r="B54" s="20" t="s">
        <v>468</v>
      </c>
      <c r="C54" s="20" t="s">
        <v>63</v>
      </c>
      <c r="D54" s="20" t="s">
        <v>426</v>
      </c>
      <c r="E54" s="35">
        <v>0</v>
      </c>
      <c r="F54" s="41">
        <f t="shared" si="1"/>
        <v>387</v>
      </c>
      <c r="H54" s="34">
        <v>199</v>
      </c>
    </row>
    <row r="55" spans="1:8" s="30" customFormat="1" ht="138">
      <c r="A55" s="35">
        <v>54</v>
      </c>
      <c r="B55" s="20" t="s">
        <v>469</v>
      </c>
      <c r="C55" s="20" t="s">
        <v>58</v>
      </c>
      <c r="D55" s="20" t="s">
        <v>426</v>
      </c>
      <c r="E55" s="35">
        <v>0</v>
      </c>
      <c r="F55" s="41">
        <f t="shared" si="1"/>
        <v>216</v>
      </c>
      <c r="H55" s="34">
        <v>159</v>
      </c>
    </row>
    <row r="56" spans="1:8" s="30" customFormat="1" ht="69">
      <c r="A56" s="35">
        <v>55</v>
      </c>
      <c r="B56" s="20" t="s">
        <v>3</v>
      </c>
      <c r="C56" s="20" t="s">
        <v>62</v>
      </c>
      <c r="D56" s="20" t="s">
        <v>426</v>
      </c>
      <c r="E56" s="35">
        <v>0</v>
      </c>
      <c r="F56" s="41">
        <f t="shared" si="1"/>
        <v>85</v>
      </c>
      <c r="H56" s="34">
        <v>197</v>
      </c>
    </row>
    <row r="57" spans="1:8" s="30" customFormat="1" ht="69">
      <c r="A57" s="35">
        <v>56</v>
      </c>
      <c r="B57" s="20" t="s">
        <v>470</v>
      </c>
      <c r="C57" s="20" t="s">
        <v>56</v>
      </c>
      <c r="D57" s="20" t="s">
        <v>426</v>
      </c>
      <c r="E57" s="35">
        <v>0</v>
      </c>
      <c r="F57" s="41">
        <f t="shared" si="1"/>
        <v>110</v>
      </c>
      <c r="H57" s="34">
        <v>82</v>
      </c>
    </row>
    <row r="58" spans="1:8" s="30" customFormat="1" ht="179.4">
      <c r="A58" s="35">
        <v>57</v>
      </c>
      <c r="B58" s="20" t="s">
        <v>471</v>
      </c>
      <c r="C58" s="20" t="s">
        <v>65</v>
      </c>
      <c r="D58" s="20" t="s">
        <v>426</v>
      </c>
      <c r="E58" s="20">
        <v>0</v>
      </c>
      <c r="F58" s="41">
        <f t="shared" si="1"/>
        <v>292</v>
      </c>
      <c r="H58" s="34">
        <v>51</v>
      </c>
    </row>
    <row r="59" spans="1:8" s="30" customFormat="1" ht="41.4">
      <c r="A59" s="35">
        <v>58</v>
      </c>
      <c r="B59" s="20" t="s">
        <v>7</v>
      </c>
      <c r="C59" s="20" t="s">
        <v>62</v>
      </c>
      <c r="D59" s="20" t="s">
        <v>426</v>
      </c>
      <c r="E59" s="35">
        <v>0</v>
      </c>
      <c r="F59" s="41">
        <f t="shared" si="1"/>
        <v>60</v>
      </c>
      <c r="H59" s="34">
        <v>4</v>
      </c>
    </row>
    <row r="60" spans="1:8" s="30" customFormat="1" ht="69">
      <c r="A60" s="35">
        <v>59</v>
      </c>
      <c r="B60" s="20" t="s">
        <v>8</v>
      </c>
      <c r="C60" s="20" t="s">
        <v>62</v>
      </c>
      <c r="D60" s="20" t="s">
        <v>426</v>
      </c>
      <c r="E60" s="35">
        <v>0</v>
      </c>
      <c r="F60" s="41">
        <f t="shared" si="1"/>
        <v>113</v>
      </c>
      <c r="H60" s="34">
        <v>183</v>
      </c>
    </row>
    <row r="61" spans="1:8" s="30" customFormat="1" ht="55.2">
      <c r="A61" s="35">
        <v>60</v>
      </c>
      <c r="B61" s="20" t="s">
        <v>9</v>
      </c>
      <c r="C61" s="20" t="s">
        <v>63</v>
      </c>
      <c r="D61" s="20" t="s">
        <v>426</v>
      </c>
      <c r="E61" s="35">
        <v>0</v>
      </c>
      <c r="F61" s="41">
        <f t="shared" si="1"/>
        <v>84</v>
      </c>
      <c r="H61" s="34">
        <v>181</v>
      </c>
    </row>
    <row r="62" spans="1:8" s="30" customFormat="1" ht="317.39999999999998">
      <c r="A62" s="35">
        <v>61</v>
      </c>
      <c r="B62" s="20" t="s">
        <v>472</v>
      </c>
      <c r="C62" s="20" t="s">
        <v>58</v>
      </c>
      <c r="D62" s="20" t="s">
        <v>426</v>
      </c>
      <c r="E62" s="35">
        <v>0</v>
      </c>
      <c r="F62" s="41">
        <f t="shared" si="1"/>
        <v>592</v>
      </c>
      <c r="H62" s="34">
        <v>119</v>
      </c>
    </row>
    <row r="63" spans="1:8" s="30" customFormat="1" ht="96.6">
      <c r="A63" s="35">
        <v>62</v>
      </c>
      <c r="B63" s="20" t="s">
        <v>64</v>
      </c>
      <c r="C63" s="20" t="s">
        <v>61</v>
      </c>
      <c r="D63" s="20" t="s">
        <v>426</v>
      </c>
      <c r="E63" s="35">
        <v>0</v>
      </c>
      <c r="F63" s="41">
        <f t="shared" si="1"/>
        <v>105</v>
      </c>
      <c r="H63" s="34">
        <v>7</v>
      </c>
    </row>
    <row r="64" spans="1:8" s="30" customFormat="1" ht="55.2">
      <c r="A64" s="35">
        <v>63</v>
      </c>
      <c r="B64" s="20" t="s">
        <v>11</v>
      </c>
      <c r="C64" s="20" t="s">
        <v>58</v>
      </c>
      <c r="D64" s="20" t="s">
        <v>426</v>
      </c>
      <c r="E64" s="35">
        <v>0</v>
      </c>
      <c r="F64" s="41">
        <f t="shared" si="1"/>
        <v>82</v>
      </c>
      <c r="H64" s="34">
        <v>154</v>
      </c>
    </row>
    <row r="65" spans="1:8" s="30" customFormat="1" ht="55.2">
      <c r="A65" s="35">
        <v>64</v>
      </c>
      <c r="B65" s="20" t="s">
        <v>12</v>
      </c>
      <c r="C65" s="20" t="s">
        <v>62</v>
      </c>
      <c r="D65" s="20" t="s">
        <v>426</v>
      </c>
      <c r="E65" s="35">
        <v>0</v>
      </c>
      <c r="F65" s="41">
        <f t="shared" si="1"/>
        <v>103</v>
      </c>
      <c r="H65" s="34">
        <v>72</v>
      </c>
    </row>
    <row r="66" spans="1:8" s="30" customFormat="1" ht="96.6">
      <c r="A66" s="35">
        <v>65</v>
      </c>
      <c r="B66" s="20" t="s">
        <v>473</v>
      </c>
      <c r="C66" s="20" t="s">
        <v>61</v>
      </c>
      <c r="D66" s="20" t="s">
        <v>426</v>
      </c>
      <c r="E66" s="35">
        <v>0</v>
      </c>
      <c r="F66" s="41">
        <f t="shared" ref="F66:F97" si="2">LEN($B66)-LEN(SUBSTITUTE($B66," ",""))+1</f>
        <v>135</v>
      </c>
      <c r="H66" s="34">
        <v>166</v>
      </c>
    </row>
    <row r="67" spans="1:8" s="30" customFormat="1" ht="96.6">
      <c r="A67" s="35">
        <v>66</v>
      </c>
      <c r="B67" s="20" t="s">
        <v>14</v>
      </c>
      <c r="C67" s="20" t="s">
        <v>61</v>
      </c>
      <c r="D67" s="20" t="s">
        <v>426</v>
      </c>
      <c r="E67" s="35">
        <v>0</v>
      </c>
      <c r="F67" s="41">
        <f t="shared" si="2"/>
        <v>184</v>
      </c>
      <c r="H67" s="34">
        <v>187</v>
      </c>
    </row>
    <row r="68" spans="1:8" s="30" customFormat="1" ht="55.2">
      <c r="A68" s="35">
        <v>67</v>
      </c>
      <c r="B68" s="20" t="s">
        <v>474</v>
      </c>
      <c r="C68" s="20" t="s">
        <v>55</v>
      </c>
      <c r="D68" s="20" t="s">
        <v>426</v>
      </c>
      <c r="E68" s="35">
        <v>0</v>
      </c>
      <c r="F68" s="41">
        <f t="shared" si="2"/>
        <v>97</v>
      </c>
      <c r="H68" s="34">
        <v>179</v>
      </c>
    </row>
    <row r="69" spans="1:8" s="30" customFormat="1" ht="27.6">
      <c r="A69" s="35">
        <v>68</v>
      </c>
      <c r="B69" s="20" t="s">
        <v>16</v>
      </c>
      <c r="C69" s="20" t="s">
        <v>55</v>
      </c>
      <c r="D69" s="20" t="s">
        <v>426</v>
      </c>
      <c r="E69" s="35">
        <v>0</v>
      </c>
      <c r="F69" s="41">
        <f t="shared" si="2"/>
        <v>44</v>
      </c>
      <c r="H69" s="34">
        <v>107</v>
      </c>
    </row>
    <row r="70" spans="1:8" s="30" customFormat="1" ht="82.8">
      <c r="A70" s="35">
        <v>69</v>
      </c>
      <c r="B70" s="20" t="s">
        <v>17</v>
      </c>
      <c r="C70" s="20" t="s">
        <v>61</v>
      </c>
      <c r="D70" s="20" t="s">
        <v>426</v>
      </c>
      <c r="E70" s="35">
        <v>0</v>
      </c>
      <c r="F70" s="41">
        <f t="shared" si="2"/>
        <v>141</v>
      </c>
      <c r="H70" s="34">
        <v>122</v>
      </c>
    </row>
    <row r="71" spans="1:8" s="30" customFormat="1" ht="69">
      <c r="A71" s="35">
        <v>70</v>
      </c>
      <c r="B71" s="20" t="s">
        <v>18</v>
      </c>
      <c r="C71" s="20" t="s">
        <v>49</v>
      </c>
      <c r="D71" s="20" t="s">
        <v>426</v>
      </c>
      <c r="E71" s="35">
        <v>1</v>
      </c>
      <c r="F71" s="41">
        <f t="shared" si="2"/>
        <v>69</v>
      </c>
      <c r="H71" s="34">
        <v>5</v>
      </c>
    </row>
    <row r="72" spans="1:8" s="30" customFormat="1" ht="179.4">
      <c r="A72" s="35">
        <v>71</v>
      </c>
      <c r="B72" s="20" t="s">
        <v>19</v>
      </c>
      <c r="C72" s="20" t="s">
        <v>60</v>
      </c>
      <c r="D72" s="20" t="s">
        <v>426</v>
      </c>
      <c r="E72" s="35">
        <v>2</v>
      </c>
      <c r="F72" s="41">
        <f t="shared" si="2"/>
        <v>260</v>
      </c>
      <c r="H72" s="34">
        <v>44</v>
      </c>
    </row>
    <row r="73" spans="1:8" s="30" customFormat="1" ht="41.4">
      <c r="A73" s="35">
        <v>72</v>
      </c>
      <c r="B73" s="20" t="s">
        <v>20</v>
      </c>
      <c r="C73" s="20" t="s">
        <v>50</v>
      </c>
      <c r="D73" s="20" t="s">
        <v>426</v>
      </c>
      <c r="E73" s="35">
        <v>0</v>
      </c>
      <c r="F73" s="41">
        <f t="shared" si="2"/>
        <v>72</v>
      </c>
      <c r="H73" s="34">
        <v>23</v>
      </c>
    </row>
    <row r="74" spans="1:8" s="30" customFormat="1" ht="69">
      <c r="A74" s="35">
        <v>73</v>
      </c>
      <c r="B74" s="20" t="s">
        <v>21</v>
      </c>
      <c r="C74" s="20" t="s">
        <v>49</v>
      </c>
      <c r="D74" s="20" t="s">
        <v>426</v>
      </c>
      <c r="E74" s="35">
        <v>1</v>
      </c>
      <c r="F74" s="41">
        <f t="shared" si="2"/>
        <v>98</v>
      </c>
      <c r="H74" s="34">
        <v>151</v>
      </c>
    </row>
    <row r="75" spans="1:8" s="30" customFormat="1" ht="41.4">
      <c r="A75" s="35">
        <v>74</v>
      </c>
      <c r="B75" s="20" t="s">
        <v>22</v>
      </c>
      <c r="C75" s="20" t="s">
        <v>51</v>
      </c>
      <c r="D75" s="20" t="s">
        <v>426</v>
      </c>
      <c r="E75" s="35">
        <v>0</v>
      </c>
      <c r="F75" s="41">
        <f t="shared" si="2"/>
        <v>60</v>
      </c>
      <c r="H75" s="34">
        <v>33</v>
      </c>
    </row>
    <row r="76" spans="1:8" s="30" customFormat="1" ht="14.4">
      <c r="A76" s="35">
        <v>75</v>
      </c>
      <c r="B76" s="20" t="s">
        <v>23</v>
      </c>
      <c r="C76" s="20" t="s">
        <v>59</v>
      </c>
      <c r="D76" s="20" t="s">
        <v>426</v>
      </c>
      <c r="E76" s="35">
        <v>0</v>
      </c>
      <c r="F76" s="41">
        <f t="shared" si="2"/>
        <v>15</v>
      </c>
      <c r="H76" s="34">
        <v>42</v>
      </c>
    </row>
    <row r="77" spans="1:8" s="30" customFormat="1" ht="27.6">
      <c r="A77" s="35">
        <v>76</v>
      </c>
      <c r="B77" s="20" t="s">
        <v>24</v>
      </c>
      <c r="C77" s="20" t="s">
        <v>58</v>
      </c>
      <c r="D77" s="20" t="s">
        <v>426</v>
      </c>
      <c r="E77" s="35">
        <v>0</v>
      </c>
      <c r="F77" s="41">
        <f t="shared" si="2"/>
        <v>35</v>
      </c>
      <c r="H77" s="34">
        <v>14</v>
      </c>
    </row>
    <row r="78" spans="1:8" s="30" customFormat="1" ht="110.4">
      <c r="A78" s="35">
        <v>77</v>
      </c>
      <c r="B78" s="20" t="s">
        <v>25</v>
      </c>
      <c r="C78" s="20" t="s">
        <v>56</v>
      </c>
      <c r="D78" s="20" t="s">
        <v>426</v>
      </c>
      <c r="E78" s="35">
        <v>0</v>
      </c>
      <c r="F78" s="41">
        <f t="shared" si="2"/>
        <v>201</v>
      </c>
      <c r="H78" s="34">
        <v>134</v>
      </c>
    </row>
    <row r="79" spans="1:8" s="30" customFormat="1" ht="55.2">
      <c r="A79" s="35">
        <v>78</v>
      </c>
      <c r="B79" s="20" t="s">
        <v>26</v>
      </c>
      <c r="C79" s="20" t="s">
        <v>57</v>
      </c>
      <c r="D79" s="20" t="s">
        <v>426</v>
      </c>
      <c r="E79" s="20">
        <v>4</v>
      </c>
      <c r="F79" s="41">
        <f t="shared" si="2"/>
        <v>89</v>
      </c>
      <c r="H79" s="34">
        <v>109</v>
      </c>
    </row>
    <row r="80" spans="1:8" s="30" customFormat="1" ht="138">
      <c r="A80" s="35">
        <v>79</v>
      </c>
      <c r="B80" s="20" t="s">
        <v>27</v>
      </c>
      <c r="C80" s="20" t="s">
        <v>56</v>
      </c>
      <c r="D80" s="20" t="s">
        <v>426</v>
      </c>
      <c r="E80" s="35">
        <v>0</v>
      </c>
      <c r="F80" s="41">
        <f t="shared" si="2"/>
        <v>259</v>
      </c>
      <c r="H80" s="34">
        <v>90</v>
      </c>
    </row>
    <row r="81" spans="1:8" s="30" customFormat="1" ht="27.6">
      <c r="A81" s="35">
        <v>80</v>
      </c>
      <c r="B81" s="20" t="s">
        <v>28</v>
      </c>
      <c r="C81" s="20" t="s">
        <v>49</v>
      </c>
      <c r="D81" s="20" t="s">
        <v>426</v>
      </c>
      <c r="E81" s="35">
        <v>1</v>
      </c>
      <c r="F81" s="41">
        <f t="shared" si="2"/>
        <v>30</v>
      </c>
      <c r="H81" s="34">
        <v>169</v>
      </c>
    </row>
    <row r="82" spans="1:8" s="30" customFormat="1" ht="14.4">
      <c r="A82" s="35">
        <v>81</v>
      </c>
      <c r="B82" s="20" t="s">
        <v>29</v>
      </c>
      <c r="C82" s="20" t="s">
        <v>55</v>
      </c>
      <c r="D82" s="20" t="s">
        <v>426</v>
      </c>
      <c r="E82" s="35">
        <v>0</v>
      </c>
      <c r="F82" s="41">
        <f t="shared" si="2"/>
        <v>21</v>
      </c>
      <c r="H82" s="34">
        <v>59</v>
      </c>
    </row>
    <row r="83" spans="1:8" s="30" customFormat="1" ht="96.6">
      <c r="A83" s="35">
        <v>82</v>
      </c>
      <c r="B83" s="20" t="s">
        <v>475</v>
      </c>
      <c r="C83" s="20" t="s">
        <v>53</v>
      </c>
      <c r="D83" s="20" t="s">
        <v>426</v>
      </c>
      <c r="E83" s="35">
        <v>0</v>
      </c>
      <c r="F83" s="41">
        <f t="shared" si="2"/>
        <v>157</v>
      </c>
      <c r="H83" s="34">
        <v>120</v>
      </c>
    </row>
    <row r="84" spans="1:8" s="30" customFormat="1" ht="41.4">
      <c r="A84" s="35">
        <v>83</v>
      </c>
      <c r="B84" s="20" t="s">
        <v>476</v>
      </c>
      <c r="C84" s="20" t="s">
        <v>49</v>
      </c>
      <c r="D84" s="20" t="s">
        <v>426</v>
      </c>
      <c r="E84" s="35">
        <v>1</v>
      </c>
      <c r="F84" s="41">
        <f t="shared" si="2"/>
        <v>62</v>
      </c>
      <c r="H84" s="34">
        <v>100</v>
      </c>
    </row>
    <row r="85" spans="1:8" s="30" customFormat="1" ht="27.6">
      <c r="A85" s="35">
        <v>84</v>
      </c>
      <c r="B85" s="20" t="s">
        <v>32</v>
      </c>
      <c r="C85" s="20" t="s">
        <v>54</v>
      </c>
      <c r="D85" s="20" t="s">
        <v>426</v>
      </c>
      <c r="E85" s="35">
        <v>3</v>
      </c>
      <c r="F85" s="41">
        <f t="shared" si="2"/>
        <v>39</v>
      </c>
      <c r="H85" s="34">
        <v>178</v>
      </c>
    </row>
    <row r="86" spans="1:8" s="30" customFormat="1" ht="41.4">
      <c r="A86" s="35">
        <v>85</v>
      </c>
      <c r="B86" s="20" t="s">
        <v>477</v>
      </c>
      <c r="C86" s="20" t="s">
        <v>52</v>
      </c>
      <c r="D86" s="20" t="s">
        <v>426</v>
      </c>
      <c r="E86" s="35">
        <v>0</v>
      </c>
      <c r="F86" s="41">
        <f t="shared" si="2"/>
        <v>64</v>
      </c>
      <c r="H86" s="34">
        <v>193</v>
      </c>
    </row>
    <row r="87" spans="1:8" s="30" customFormat="1" ht="138">
      <c r="A87" s="35">
        <v>86</v>
      </c>
      <c r="B87" s="20" t="s">
        <v>478</v>
      </c>
      <c r="C87" s="20" t="s">
        <v>52</v>
      </c>
      <c r="D87" s="20" t="s">
        <v>426</v>
      </c>
      <c r="E87" s="35">
        <v>0</v>
      </c>
      <c r="F87" s="41">
        <f t="shared" si="2"/>
        <v>213</v>
      </c>
      <c r="H87" s="34">
        <v>155</v>
      </c>
    </row>
    <row r="88" spans="1:8" s="30" customFormat="1" ht="55.2">
      <c r="A88" s="35">
        <v>87</v>
      </c>
      <c r="B88" s="20" t="s">
        <v>35</v>
      </c>
      <c r="C88" s="20" t="s">
        <v>50</v>
      </c>
      <c r="D88" s="20" t="s">
        <v>426</v>
      </c>
      <c r="E88" s="35">
        <v>0</v>
      </c>
      <c r="F88" s="41">
        <f t="shared" si="2"/>
        <v>99</v>
      </c>
      <c r="H88" s="34">
        <v>11</v>
      </c>
    </row>
    <row r="89" spans="1:8" s="30" customFormat="1" ht="55.2">
      <c r="A89" s="35">
        <v>88</v>
      </c>
      <c r="B89" s="20" t="s">
        <v>36</v>
      </c>
      <c r="C89" s="20" t="s">
        <v>50</v>
      </c>
      <c r="D89" s="20" t="s">
        <v>426</v>
      </c>
      <c r="E89" s="35">
        <v>0</v>
      </c>
      <c r="F89" s="41">
        <f t="shared" si="2"/>
        <v>93</v>
      </c>
      <c r="H89" s="34">
        <v>144</v>
      </c>
    </row>
    <row r="90" spans="1:8" s="30" customFormat="1" ht="55.2">
      <c r="A90" s="35">
        <v>89</v>
      </c>
      <c r="B90" s="20" t="s">
        <v>479</v>
      </c>
      <c r="C90" s="20" t="s">
        <v>49</v>
      </c>
      <c r="D90" s="20" t="s">
        <v>426</v>
      </c>
      <c r="E90" s="35">
        <v>1</v>
      </c>
      <c r="F90" s="41">
        <f t="shared" si="2"/>
        <v>109</v>
      </c>
      <c r="H90" s="34">
        <v>83</v>
      </c>
    </row>
    <row r="91" spans="1:8" s="30" customFormat="1" ht="55.2">
      <c r="A91" s="35">
        <v>90</v>
      </c>
      <c r="B91" s="20" t="s">
        <v>38</v>
      </c>
      <c r="C91" s="20" t="s">
        <v>50</v>
      </c>
      <c r="D91" s="20" t="s">
        <v>426</v>
      </c>
      <c r="E91" s="35">
        <v>0</v>
      </c>
      <c r="F91" s="41">
        <f t="shared" si="2"/>
        <v>80</v>
      </c>
      <c r="H91" s="34">
        <v>75</v>
      </c>
    </row>
    <row r="92" spans="1:8" s="30" customFormat="1" ht="124.2">
      <c r="A92" s="35">
        <v>91</v>
      </c>
      <c r="B92" s="20" t="s">
        <v>480</v>
      </c>
      <c r="C92" s="20" t="s">
        <v>53</v>
      </c>
      <c r="D92" s="20" t="s">
        <v>426</v>
      </c>
      <c r="E92" s="35">
        <v>0</v>
      </c>
      <c r="F92" s="41">
        <f t="shared" si="2"/>
        <v>227</v>
      </c>
      <c r="H92" s="34">
        <v>89</v>
      </c>
    </row>
    <row r="93" spans="1:8" s="30" customFormat="1" ht="96.6">
      <c r="A93" s="35">
        <v>92</v>
      </c>
      <c r="B93" s="20" t="s">
        <v>40</v>
      </c>
      <c r="C93" s="20" t="s">
        <v>49</v>
      </c>
      <c r="D93" s="20" t="s">
        <v>426</v>
      </c>
      <c r="E93" s="35">
        <v>1</v>
      </c>
      <c r="F93" s="41">
        <f t="shared" si="2"/>
        <v>157</v>
      </c>
      <c r="H93" s="34">
        <v>116</v>
      </c>
    </row>
    <row r="94" spans="1:8" s="30" customFormat="1" ht="110.4">
      <c r="A94" s="35">
        <v>93</v>
      </c>
      <c r="B94" s="20" t="s">
        <v>481</v>
      </c>
      <c r="C94" s="20" t="s">
        <v>50</v>
      </c>
      <c r="D94" s="20" t="s">
        <v>426</v>
      </c>
      <c r="E94" s="35">
        <v>0</v>
      </c>
      <c r="F94" s="41">
        <f t="shared" si="2"/>
        <v>184</v>
      </c>
      <c r="H94" s="34">
        <v>41</v>
      </c>
    </row>
    <row r="95" spans="1:8" s="30" customFormat="1" ht="41.4">
      <c r="A95" s="35">
        <v>94</v>
      </c>
      <c r="B95" s="20" t="s">
        <v>42</v>
      </c>
      <c r="C95" s="20" t="s">
        <v>53</v>
      </c>
      <c r="D95" s="20" t="s">
        <v>426</v>
      </c>
      <c r="E95" s="35">
        <v>0</v>
      </c>
      <c r="F95" s="41">
        <f t="shared" si="2"/>
        <v>75</v>
      </c>
      <c r="H95" s="34">
        <v>153</v>
      </c>
    </row>
    <row r="96" spans="1:8" s="30" customFormat="1" ht="96.6">
      <c r="A96" s="35">
        <v>95</v>
      </c>
      <c r="B96" s="20" t="s">
        <v>43</v>
      </c>
      <c r="C96" s="20" t="s">
        <v>52</v>
      </c>
      <c r="D96" s="20" t="s">
        <v>426</v>
      </c>
      <c r="E96" s="35">
        <v>0</v>
      </c>
      <c r="F96" s="41">
        <f t="shared" si="2"/>
        <v>178</v>
      </c>
      <c r="H96" s="34">
        <v>2</v>
      </c>
    </row>
    <row r="97" spans="1:8" s="30" customFormat="1" ht="69">
      <c r="A97" s="35">
        <v>96</v>
      </c>
      <c r="B97" s="20" t="s">
        <v>44</v>
      </c>
      <c r="C97" s="20" t="s">
        <v>49</v>
      </c>
      <c r="D97" s="20" t="s">
        <v>426</v>
      </c>
      <c r="E97" s="35">
        <v>1</v>
      </c>
      <c r="F97" s="41">
        <f t="shared" si="2"/>
        <v>110</v>
      </c>
      <c r="H97" s="34">
        <v>148</v>
      </c>
    </row>
    <row r="98" spans="1:8" s="30" customFormat="1" ht="27.6">
      <c r="A98" s="35">
        <v>97</v>
      </c>
      <c r="B98" s="20" t="s">
        <v>45</v>
      </c>
      <c r="C98" s="20" t="s">
        <v>51</v>
      </c>
      <c r="D98" s="20" t="s">
        <v>426</v>
      </c>
      <c r="E98" s="35">
        <v>0</v>
      </c>
      <c r="F98" s="41">
        <f t="shared" ref="F98:F129" si="3">LEN($B98)-LEN(SUBSTITUTE($B98," ",""))+1</f>
        <v>44</v>
      </c>
      <c r="H98" s="34">
        <v>84</v>
      </c>
    </row>
    <row r="99" spans="1:8" s="30" customFormat="1" ht="82.8">
      <c r="A99" s="35">
        <v>98</v>
      </c>
      <c r="B99" s="20" t="s">
        <v>46</v>
      </c>
      <c r="C99" s="20" t="s">
        <v>49</v>
      </c>
      <c r="D99" s="20" t="s">
        <v>426</v>
      </c>
      <c r="E99" s="35">
        <v>1</v>
      </c>
      <c r="F99" s="41">
        <f t="shared" si="3"/>
        <v>146</v>
      </c>
      <c r="H99" s="34">
        <v>28</v>
      </c>
    </row>
    <row r="100" spans="1:8" s="30" customFormat="1" ht="27.6">
      <c r="A100" s="35">
        <v>99</v>
      </c>
      <c r="B100" s="20" t="s">
        <v>47</v>
      </c>
      <c r="C100" s="20" t="s">
        <v>50</v>
      </c>
      <c r="D100" s="20" t="s">
        <v>426</v>
      </c>
      <c r="E100" s="35">
        <v>0</v>
      </c>
      <c r="F100" s="41">
        <f t="shared" si="3"/>
        <v>36</v>
      </c>
      <c r="H100" s="34">
        <v>73</v>
      </c>
    </row>
    <row r="101" spans="1:8" s="30" customFormat="1" ht="55.2">
      <c r="A101" s="35">
        <v>100</v>
      </c>
      <c r="B101" s="20" t="s">
        <v>48</v>
      </c>
      <c r="C101" s="20" t="s">
        <v>49</v>
      </c>
      <c r="D101" s="20" t="s">
        <v>426</v>
      </c>
      <c r="E101" s="35">
        <v>1</v>
      </c>
      <c r="F101" s="41">
        <f t="shared" si="3"/>
        <v>92</v>
      </c>
      <c r="H101" s="34">
        <v>57</v>
      </c>
    </row>
    <row r="102" spans="1:8" s="20" customFormat="1" ht="69">
      <c r="A102" s="35">
        <v>101</v>
      </c>
      <c r="B102" s="20" t="s">
        <v>482</v>
      </c>
      <c r="C102" s="20" t="s">
        <v>62</v>
      </c>
      <c r="D102" s="20" t="s">
        <v>427</v>
      </c>
      <c r="E102" s="35">
        <v>0</v>
      </c>
      <c r="F102" s="41">
        <f t="shared" si="3"/>
        <v>81</v>
      </c>
    </row>
    <row r="103" spans="1:8" s="20" customFormat="1" ht="27.6">
      <c r="A103" s="35">
        <v>102</v>
      </c>
      <c r="B103" s="20" t="s">
        <v>68</v>
      </c>
      <c r="C103" s="20" t="s">
        <v>62</v>
      </c>
      <c r="D103" s="20" t="s">
        <v>427</v>
      </c>
      <c r="E103" s="35">
        <v>0</v>
      </c>
      <c r="F103" s="41">
        <f t="shared" si="3"/>
        <v>44</v>
      </c>
    </row>
    <row r="104" spans="1:8" s="20" customFormat="1" ht="138">
      <c r="A104" s="35">
        <v>103</v>
      </c>
      <c r="B104" s="20" t="s">
        <v>483</v>
      </c>
      <c r="C104" s="20" t="s">
        <v>65</v>
      </c>
      <c r="D104" s="20" t="s">
        <v>427</v>
      </c>
      <c r="E104" s="20">
        <v>0</v>
      </c>
      <c r="F104" s="41">
        <f t="shared" si="3"/>
        <v>230</v>
      </c>
    </row>
    <row r="105" spans="1:8" s="20" customFormat="1" ht="151.80000000000001">
      <c r="A105" s="35">
        <v>104</v>
      </c>
      <c r="B105" s="20" t="s">
        <v>484</v>
      </c>
      <c r="C105" s="20" t="s">
        <v>65</v>
      </c>
      <c r="D105" s="20" t="s">
        <v>427</v>
      </c>
      <c r="E105" s="20">
        <v>0</v>
      </c>
      <c r="F105" s="41">
        <f t="shared" si="3"/>
        <v>171</v>
      </c>
    </row>
    <row r="106" spans="1:8" s="20" customFormat="1" ht="55.2">
      <c r="A106" s="35">
        <v>105</v>
      </c>
      <c r="B106" s="20" t="s">
        <v>485</v>
      </c>
      <c r="C106" s="20" t="s">
        <v>63</v>
      </c>
      <c r="D106" s="20" t="s">
        <v>427</v>
      </c>
      <c r="E106" s="35">
        <v>0</v>
      </c>
      <c r="F106" s="41">
        <f t="shared" si="3"/>
        <v>90</v>
      </c>
    </row>
    <row r="107" spans="1:8" s="20" customFormat="1" ht="110.4">
      <c r="A107" s="35">
        <v>106</v>
      </c>
      <c r="B107" s="20" t="s">
        <v>486</v>
      </c>
      <c r="C107" s="20" t="s">
        <v>58</v>
      </c>
      <c r="D107" s="20" t="s">
        <v>427</v>
      </c>
      <c r="E107" s="35">
        <v>0</v>
      </c>
      <c r="F107" s="41">
        <f t="shared" si="3"/>
        <v>162</v>
      </c>
    </row>
    <row r="108" spans="1:8" s="20" customFormat="1" ht="82.8">
      <c r="A108" s="35">
        <v>107</v>
      </c>
      <c r="B108" s="20" t="s">
        <v>73</v>
      </c>
      <c r="C108" s="20" t="s">
        <v>59</v>
      </c>
      <c r="D108" s="20" t="s">
        <v>427</v>
      </c>
      <c r="E108" s="35">
        <v>0</v>
      </c>
      <c r="F108" s="41">
        <f t="shared" si="3"/>
        <v>133</v>
      </c>
    </row>
    <row r="109" spans="1:8" s="20" customFormat="1" ht="96.6">
      <c r="A109" s="35">
        <v>108</v>
      </c>
      <c r="B109" s="20" t="s">
        <v>74</v>
      </c>
      <c r="C109" s="20" t="s">
        <v>62</v>
      </c>
      <c r="D109" s="20" t="s">
        <v>427</v>
      </c>
      <c r="E109" s="35">
        <v>0</v>
      </c>
      <c r="F109" s="41">
        <f t="shared" si="3"/>
        <v>174</v>
      </c>
    </row>
    <row r="110" spans="1:8" s="20" customFormat="1" ht="82.8">
      <c r="A110" s="35">
        <v>109</v>
      </c>
      <c r="B110" s="20" t="s">
        <v>75</v>
      </c>
      <c r="C110" s="20" t="s">
        <v>63</v>
      </c>
      <c r="D110" s="20" t="s">
        <v>427</v>
      </c>
      <c r="E110" s="35">
        <v>0</v>
      </c>
      <c r="F110" s="41">
        <f t="shared" si="3"/>
        <v>129</v>
      </c>
    </row>
    <row r="111" spans="1:8" s="20" customFormat="1" ht="27.6">
      <c r="A111" s="35">
        <v>110</v>
      </c>
      <c r="B111" s="20" t="s">
        <v>487</v>
      </c>
      <c r="C111" s="20" t="s">
        <v>62</v>
      </c>
      <c r="D111" s="20" t="s">
        <v>427</v>
      </c>
      <c r="E111" s="35">
        <v>0</v>
      </c>
      <c r="F111" s="41">
        <f t="shared" si="3"/>
        <v>50</v>
      </c>
    </row>
    <row r="112" spans="1:8" s="20" customFormat="1" ht="124.2">
      <c r="A112" s="35">
        <v>111</v>
      </c>
      <c r="B112" s="20" t="s">
        <v>488</v>
      </c>
      <c r="C112" s="20" t="s">
        <v>52</v>
      </c>
      <c r="D112" s="20" t="s">
        <v>427</v>
      </c>
      <c r="E112" s="35">
        <v>0</v>
      </c>
      <c r="F112" s="41">
        <f t="shared" si="3"/>
        <v>219</v>
      </c>
    </row>
    <row r="113" spans="1:6" s="20" customFormat="1" ht="69">
      <c r="A113" s="35">
        <v>112</v>
      </c>
      <c r="B113" s="20" t="s">
        <v>489</v>
      </c>
      <c r="C113" s="20" t="s">
        <v>58</v>
      </c>
      <c r="D113" s="20" t="s">
        <v>427</v>
      </c>
      <c r="E113" s="35">
        <v>0</v>
      </c>
      <c r="F113" s="41">
        <f t="shared" si="3"/>
        <v>128</v>
      </c>
    </row>
    <row r="114" spans="1:6" s="20" customFormat="1" ht="69">
      <c r="A114" s="35">
        <v>113</v>
      </c>
      <c r="B114" s="20" t="s">
        <v>79</v>
      </c>
      <c r="C114" s="20" t="s">
        <v>59</v>
      </c>
      <c r="D114" s="20" t="s">
        <v>427</v>
      </c>
      <c r="E114" s="35">
        <v>0</v>
      </c>
      <c r="F114" s="41">
        <f t="shared" si="3"/>
        <v>123</v>
      </c>
    </row>
    <row r="115" spans="1:6" s="20" customFormat="1" ht="27.6">
      <c r="A115" s="35">
        <v>114</v>
      </c>
      <c r="B115" s="20" t="s">
        <v>80</v>
      </c>
      <c r="C115" s="20" t="s">
        <v>58</v>
      </c>
      <c r="D115" s="20" t="s">
        <v>427</v>
      </c>
      <c r="E115" s="35">
        <v>0</v>
      </c>
      <c r="F115" s="41">
        <f t="shared" si="3"/>
        <v>37</v>
      </c>
    </row>
    <row r="116" spans="1:6" s="20" customFormat="1" ht="138">
      <c r="A116" s="35">
        <v>115</v>
      </c>
      <c r="B116" s="20" t="s">
        <v>490</v>
      </c>
      <c r="C116" s="20" t="s">
        <v>61</v>
      </c>
      <c r="D116" s="20" t="s">
        <v>427</v>
      </c>
      <c r="E116" s="35">
        <v>0</v>
      </c>
      <c r="F116" s="41">
        <f t="shared" si="3"/>
        <v>214</v>
      </c>
    </row>
    <row r="117" spans="1:6" s="20" customFormat="1" ht="82.8">
      <c r="A117" s="35">
        <v>116</v>
      </c>
      <c r="B117" s="20" t="s">
        <v>491</v>
      </c>
      <c r="C117" s="20" t="s">
        <v>58</v>
      </c>
      <c r="D117" s="20" t="s">
        <v>427</v>
      </c>
      <c r="E117" s="35">
        <v>0</v>
      </c>
      <c r="F117" s="41">
        <f t="shared" si="3"/>
        <v>143</v>
      </c>
    </row>
    <row r="118" spans="1:6" s="20" customFormat="1" ht="165.6">
      <c r="A118" s="35">
        <v>117</v>
      </c>
      <c r="B118" s="20" t="s">
        <v>83</v>
      </c>
      <c r="C118" s="20" t="s">
        <v>55</v>
      </c>
      <c r="D118" s="20" t="s">
        <v>427</v>
      </c>
      <c r="E118" s="35">
        <v>0</v>
      </c>
      <c r="F118" s="41">
        <f t="shared" si="3"/>
        <v>308</v>
      </c>
    </row>
    <row r="119" spans="1:6" s="20" customFormat="1" ht="41.4">
      <c r="A119" s="35">
        <v>118</v>
      </c>
      <c r="B119" s="20" t="s">
        <v>84</v>
      </c>
      <c r="C119" s="20" t="s">
        <v>63</v>
      </c>
      <c r="D119" s="20" t="s">
        <v>427</v>
      </c>
      <c r="E119" s="35">
        <v>0</v>
      </c>
      <c r="F119" s="41">
        <f t="shared" si="3"/>
        <v>79</v>
      </c>
    </row>
    <row r="120" spans="1:6" s="20" customFormat="1" ht="27.6">
      <c r="A120" s="35">
        <v>119</v>
      </c>
      <c r="B120" s="20" t="s">
        <v>85</v>
      </c>
      <c r="C120" s="20" t="s">
        <v>62</v>
      </c>
      <c r="D120" s="20" t="s">
        <v>427</v>
      </c>
      <c r="E120" s="35">
        <v>0</v>
      </c>
      <c r="F120" s="41">
        <f t="shared" si="3"/>
        <v>29</v>
      </c>
    </row>
    <row r="121" spans="1:6" s="20" customFormat="1" ht="69">
      <c r="A121" s="35">
        <v>120</v>
      </c>
      <c r="B121" s="20" t="s">
        <v>492</v>
      </c>
      <c r="C121" s="20" t="s">
        <v>62</v>
      </c>
      <c r="D121" s="20" t="s">
        <v>427</v>
      </c>
      <c r="E121" s="35">
        <v>0</v>
      </c>
      <c r="F121" s="41">
        <f t="shared" si="3"/>
        <v>102</v>
      </c>
    </row>
    <row r="122" spans="1:6" s="20" customFormat="1" ht="96.6">
      <c r="A122" s="35">
        <v>121</v>
      </c>
      <c r="B122" s="20" t="s">
        <v>493</v>
      </c>
      <c r="C122" s="20" t="s">
        <v>62</v>
      </c>
      <c r="D122" s="20" t="s">
        <v>427</v>
      </c>
      <c r="E122" s="35">
        <v>0</v>
      </c>
      <c r="F122" s="41">
        <f t="shared" si="3"/>
        <v>169</v>
      </c>
    </row>
    <row r="123" spans="1:6" s="20" customFormat="1" ht="27.6">
      <c r="A123" s="35">
        <v>122</v>
      </c>
      <c r="B123" s="20" t="s">
        <v>88</v>
      </c>
      <c r="C123" s="20" t="s">
        <v>63</v>
      </c>
      <c r="D123" s="20" t="s">
        <v>427</v>
      </c>
      <c r="E123" s="35">
        <v>0</v>
      </c>
      <c r="F123" s="41">
        <f t="shared" si="3"/>
        <v>44</v>
      </c>
    </row>
    <row r="124" spans="1:6" s="20" customFormat="1" ht="82.8">
      <c r="A124" s="35">
        <v>123</v>
      </c>
      <c r="B124" s="20" t="s">
        <v>89</v>
      </c>
      <c r="C124" s="20" t="s">
        <v>63</v>
      </c>
      <c r="D124" s="20" t="s">
        <v>427</v>
      </c>
      <c r="E124" s="35">
        <v>0</v>
      </c>
      <c r="F124" s="41">
        <f t="shared" si="3"/>
        <v>135</v>
      </c>
    </row>
    <row r="125" spans="1:6" s="20" customFormat="1" ht="82.8">
      <c r="A125" s="35">
        <v>124</v>
      </c>
      <c r="B125" s="20" t="s">
        <v>494</v>
      </c>
      <c r="C125" s="20" t="s">
        <v>59</v>
      </c>
      <c r="D125" s="20" t="s">
        <v>427</v>
      </c>
      <c r="E125" s="35">
        <v>0</v>
      </c>
      <c r="F125" s="41">
        <f t="shared" si="3"/>
        <v>133</v>
      </c>
    </row>
    <row r="126" spans="1:6" s="20" customFormat="1" ht="41.4">
      <c r="A126" s="35">
        <v>125</v>
      </c>
      <c r="B126" s="20" t="s">
        <v>495</v>
      </c>
      <c r="C126" s="20" t="s">
        <v>61</v>
      </c>
      <c r="D126" s="20" t="s">
        <v>427</v>
      </c>
      <c r="E126" s="35">
        <v>0</v>
      </c>
      <c r="F126" s="41">
        <f t="shared" si="3"/>
        <v>58</v>
      </c>
    </row>
    <row r="127" spans="1:6" s="20" customFormat="1" ht="55.2">
      <c r="A127" s="35">
        <v>126</v>
      </c>
      <c r="B127" s="20" t="s">
        <v>92</v>
      </c>
      <c r="C127" s="20" t="s">
        <v>55</v>
      </c>
      <c r="D127" s="20" t="s">
        <v>427</v>
      </c>
      <c r="E127" s="35">
        <v>0</v>
      </c>
      <c r="F127" s="41">
        <f t="shared" si="3"/>
        <v>98</v>
      </c>
    </row>
    <row r="128" spans="1:6" s="20" customFormat="1" ht="55.2">
      <c r="A128" s="35">
        <v>127</v>
      </c>
      <c r="B128" s="20" t="s">
        <v>93</v>
      </c>
      <c r="C128" s="20" t="s">
        <v>55</v>
      </c>
      <c r="D128" s="20" t="s">
        <v>427</v>
      </c>
      <c r="E128" s="35">
        <v>0</v>
      </c>
      <c r="F128" s="41">
        <f t="shared" si="3"/>
        <v>98</v>
      </c>
    </row>
    <row r="129" spans="1:6" s="20" customFormat="1" ht="27.6">
      <c r="A129" s="35">
        <v>128</v>
      </c>
      <c r="B129" s="20" t="s">
        <v>94</v>
      </c>
      <c r="C129" s="20" t="s">
        <v>59</v>
      </c>
      <c r="D129" s="20" t="s">
        <v>427</v>
      </c>
      <c r="E129" s="35">
        <v>0</v>
      </c>
      <c r="F129" s="41">
        <f t="shared" si="3"/>
        <v>31</v>
      </c>
    </row>
    <row r="130" spans="1:6" s="20" customFormat="1" ht="41.4">
      <c r="A130" s="35">
        <v>129</v>
      </c>
      <c r="B130" s="20" t="s">
        <v>95</v>
      </c>
      <c r="C130" s="20" t="s">
        <v>58</v>
      </c>
      <c r="D130" s="20" t="s">
        <v>427</v>
      </c>
      <c r="E130" s="35">
        <v>0</v>
      </c>
      <c r="F130" s="41">
        <f t="shared" ref="F130:F161" si="4">LEN($B130)-LEN(SUBSTITUTE($B130," ",""))+1</f>
        <v>58</v>
      </c>
    </row>
    <row r="131" spans="1:6" s="20" customFormat="1" ht="82.8">
      <c r="A131" s="35">
        <v>130</v>
      </c>
      <c r="B131" s="20" t="s">
        <v>96</v>
      </c>
      <c r="C131" s="20" t="s">
        <v>58</v>
      </c>
      <c r="D131" s="20" t="s">
        <v>427</v>
      </c>
      <c r="E131" s="35">
        <v>0</v>
      </c>
      <c r="F131" s="41">
        <f t="shared" si="4"/>
        <v>134</v>
      </c>
    </row>
    <row r="132" spans="1:6" s="20" customFormat="1" ht="110.4">
      <c r="A132" s="35">
        <v>131</v>
      </c>
      <c r="B132" s="20" t="s">
        <v>496</v>
      </c>
      <c r="C132" s="20" t="s">
        <v>60</v>
      </c>
      <c r="D132" s="20" t="s">
        <v>427</v>
      </c>
      <c r="E132" s="35">
        <v>2</v>
      </c>
      <c r="F132" s="41">
        <f t="shared" si="4"/>
        <v>197</v>
      </c>
    </row>
    <row r="133" spans="1:6" s="20" customFormat="1" ht="27.6">
      <c r="A133" s="35">
        <v>132</v>
      </c>
      <c r="B133" s="20" t="s">
        <v>98</v>
      </c>
      <c r="C133" s="20" t="s">
        <v>63</v>
      </c>
      <c r="D133" s="20" t="s">
        <v>427</v>
      </c>
      <c r="E133" s="35">
        <v>0</v>
      </c>
      <c r="F133" s="41">
        <f t="shared" si="4"/>
        <v>41</v>
      </c>
    </row>
    <row r="134" spans="1:6" s="20" customFormat="1">
      <c r="A134" s="35">
        <v>133</v>
      </c>
      <c r="B134" s="20" t="s">
        <v>99</v>
      </c>
      <c r="C134" s="20" t="s">
        <v>58</v>
      </c>
      <c r="D134" s="20" t="s">
        <v>427</v>
      </c>
      <c r="E134" s="35">
        <v>0</v>
      </c>
      <c r="F134" s="41">
        <f t="shared" si="4"/>
        <v>18</v>
      </c>
    </row>
    <row r="135" spans="1:6" s="20" customFormat="1" ht="69">
      <c r="A135" s="35">
        <v>134</v>
      </c>
      <c r="B135" s="20" t="s">
        <v>100</v>
      </c>
      <c r="C135" s="20" t="s">
        <v>58</v>
      </c>
      <c r="D135" s="20" t="s">
        <v>427</v>
      </c>
      <c r="E135" s="35">
        <v>0</v>
      </c>
      <c r="F135" s="41">
        <f t="shared" si="4"/>
        <v>79</v>
      </c>
    </row>
    <row r="136" spans="1:6" s="20" customFormat="1" ht="27.6">
      <c r="A136" s="35">
        <v>135</v>
      </c>
      <c r="B136" s="20" t="s">
        <v>101</v>
      </c>
      <c r="C136" s="20" t="s">
        <v>63</v>
      </c>
      <c r="D136" s="20" t="s">
        <v>427</v>
      </c>
      <c r="E136" s="35">
        <v>0</v>
      </c>
      <c r="F136" s="41">
        <f t="shared" si="4"/>
        <v>50</v>
      </c>
    </row>
    <row r="137" spans="1:6" s="20" customFormat="1" ht="27.6">
      <c r="A137" s="35">
        <v>136</v>
      </c>
      <c r="B137" s="20" t="s">
        <v>102</v>
      </c>
      <c r="C137" s="20" t="s">
        <v>63</v>
      </c>
      <c r="D137" s="20" t="s">
        <v>427</v>
      </c>
      <c r="E137" s="35">
        <v>0</v>
      </c>
      <c r="F137" s="41">
        <f t="shared" si="4"/>
        <v>36</v>
      </c>
    </row>
    <row r="138" spans="1:6" s="20" customFormat="1" ht="55.2">
      <c r="A138" s="35">
        <v>137</v>
      </c>
      <c r="B138" s="20" t="s">
        <v>103</v>
      </c>
      <c r="C138" s="20" t="s">
        <v>54</v>
      </c>
      <c r="D138" s="20" t="s">
        <v>427</v>
      </c>
      <c r="E138" s="35">
        <v>3</v>
      </c>
      <c r="F138" s="41">
        <f t="shared" si="4"/>
        <v>79</v>
      </c>
    </row>
    <row r="139" spans="1:6" s="20" customFormat="1" ht="27.6">
      <c r="A139" s="35">
        <v>138</v>
      </c>
      <c r="B139" s="20" t="s">
        <v>104</v>
      </c>
      <c r="C139" s="20" t="s">
        <v>59</v>
      </c>
      <c r="D139" s="20" t="s">
        <v>427</v>
      </c>
      <c r="E139" s="35">
        <v>0</v>
      </c>
      <c r="F139" s="41">
        <f t="shared" si="4"/>
        <v>36</v>
      </c>
    </row>
    <row r="140" spans="1:6" s="20" customFormat="1" ht="27.6">
      <c r="A140" s="35">
        <v>139</v>
      </c>
      <c r="B140" s="20" t="s">
        <v>105</v>
      </c>
      <c r="C140" s="20" t="s">
        <v>59</v>
      </c>
      <c r="D140" s="20" t="s">
        <v>427</v>
      </c>
      <c r="E140" s="35">
        <v>0</v>
      </c>
      <c r="F140" s="41">
        <f t="shared" si="4"/>
        <v>41</v>
      </c>
    </row>
    <row r="141" spans="1:6" s="20" customFormat="1" ht="27.6">
      <c r="A141" s="35">
        <v>140</v>
      </c>
      <c r="B141" s="20" t="s">
        <v>106</v>
      </c>
      <c r="C141" s="20" t="s">
        <v>58</v>
      </c>
      <c r="D141" s="20" t="s">
        <v>427</v>
      </c>
      <c r="E141" s="35">
        <v>0</v>
      </c>
      <c r="F141" s="41">
        <f t="shared" si="4"/>
        <v>34</v>
      </c>
    </row>
    <row r="142" spans="1:6" s="20" customFormat="1" ht="69">
      <c r="A142" s="35">
        <v>141</v>
      </c>
      <c r="B142" s="20" t="s">
        <v>107</v>
      </c>
      <c r="C142" s="20" t="s">
        <v>59</v>
      </c>
      <c r="D142" s="20" t="s">
        <v>427</v>
      </c>
      <c r="E142" s="35">
        <v>0</v>
      </c>
      <c r="F142" s="41">
        <f t="shared" si="4"/>
        <v>104</v>
      </c>
    </row>
    <row r="143" spans="1:6" s="20" customFormat="1" ht="27.6">
      <c r="A143" s="35">
        <v>142</v>
      </c>
      <c r="B143" s="20" t="s">
        <v>108</v>
      </c>
      <c r="C143" s="20" t="s">
        <v>62</v>
      </c>
      <c r="D143" s="20" t="s">
        <v>427</v>
      </c>
      <c r="E143" s="35">
        <v>0</v>
      </c>
      <c r="F143" s="41">
        <f t="shared" si="4"/>
        <v>40</v>
      </c>
    </row>
    <row r="144" spans="1:6" s="20" customFormat="1" ht="27.6">
      <c r="A144" s="35">
        <v>143</v>
      </c>
      <c r="B144" s="20" t="s">
        <v>109</v>
      </c>
      <c r="C144" s="20" t="s">
        <v>58</v>
      </c>
      <c r="D144" s="20" t="s">
        <v>427</v>
      </c>
      <c r="E144" s="35">
        <v>0</v>
      </c>
      <c r="F144" s="41">
        <f t="shared" si="4"/>
        <v>40</v>
      </c>
    </row>
    <row r="145" spans="1:6" s="20" customFormat="1" ht="55.2">
      <c r="A145" s="35">
        <v>144</v>
      </c>
      <c r="B145" s="20" t="s">
        <v>110</v>
      </c>
      <c r="C145" s="20" t="s">
        <v>61</v>
      </c>
      <c r="D145" s="20" t="s">
        <v>427</v>
      </c>
      <c r="E145" s="35">
        <v>0</v>
      </c>
      <c r="F145" s="41">
        <f t="shared" si="4"/>
        <v>85</v>
      </c>
    </row>
    <row r="146" spans="1:6" s="20" customFormat="1" ht="69">
      <c r="A146" s="35">
        <v>145</v>
      </c>
      <c r="B146" s="20" t="s">
        <v>497</v>
      </c>
      <c r="C146" s="20" t="s">
        <v>53</v>
      </c>
      <c r="D146" s="20" t="s">
        <v>427</v>
      </c>
      <c r="E146" s="35">
        <v>0</v>
      </c>
      <c r="F146" s="41">
        <f t="shared" si="4"/>
        <v>91</v>
      </c>
    </row>
    <row r="147" spans="1:6" s="20" customFormat="1" ht="69">
      <c r="A147" s="35">
        <v>146</v>
      </c>
      <c r="B147" s="20" t="s">
        <v>112</v>
      </c>
      <c r="C147" s="20" t="s">
        <v>60</v>
      </c>
      <c r="D147" s="20" t="s">
        <v>427</v>
      </c>
      <c r="E147" s="35">
        <v>2</v>
      </c>
      <c r="F147" s="41">
        <f t="shared" si="4"/>
        <v>109</v>
      </c>
    </row>
    <row r="148" spans="1:6" s="20" customFormat="1">
      <c r="A148" s="35">
        <v>147</v>
      </c>
      <c r="B148" s="20" t="s">
        <v>113</v>
      </c>
      <c r="C148" s="20" t="s">
        <v>55</v>
      </c>
      <c r="D148" s="20" t="s">
        <v>427</v>
      </c>
      <c r="E148" s="35">
        <v>0</v>
      </c>
      <c r="F148" s="41">
        <f t="shared" si="4"/>
        <v>20</v>
      </c>
    </row>
    <row r="149" spans="1:6" s="20" customFormat="1" ht="55.2">
      <c r="A149" s="35">
        <v>148</v>
      </c>
      <c r="B149" s="20" t="s">
        <v>114</v>
      </c>
      <c r="C149" s="20" t="s">
        <v>55</v>
      </c>
      <c r="D149" s="20" t="s">
        <v>427</v>
      </c>
      <c r="E149" s="35">
        <v>0</v>
      </c>
      <c r="F149" s="41">
        <f t="shared" si="4"/>
        <v>87</v>
      </c>
    </row>
    <row r="150" spans="1:6" s="20" customFormat="1" ht="55.2">
      <c r="A150" s="35">
        <v>149</v>
      </c>
      <c r="B150" s="20" t="s">
        <v>498</v>
      </c>
      <c r="C150" s="20" t="s">
        <v>56</v>
      </c>
      <c r="D150" s="20" t="s">
        <v>427</v>
      </c>
      <c r="E150" s="35">
        <v>0</v>
      </c>
      <c r="F150" s="41">
        <f t="shared" si="4"/>
        <v>95</v>
      </c>
    </row>
    <row r="151" spans="1:6" s="20" customFormat="1" ht="124.2">
      <c r="A151" s="35">
        <v>150</v>
      </c>
      <c r="B151" s="20" t="s">
        <v>116</v>
      </c>
      <c r="C151" s="20" t="s">
        <v>55</v>
      </c>
      <c r="D151" s="20" t="s">
        <v>427</v>
      </c>
      <c r="E151" s="35">
        <v>0</v>
      </c>
      <c r="F151" s="41">
        <f t="shared" si="4"/>
        <v>206</v>
      </c>
    </row>
    <row r="152" spans="1:6" s="37" customFormat="1" ht="96.6">
      <c r="A152" s="35">
        <v>151</v>
      </c>
      <c r="B152" s="36" t="s">
        <v>499</v>
      </c>
      <c r="C152" s="37" t="s">
        <v>198</v>
      </c>
      <c r="D152" s="37" t="s">
        <v>428</v>
      </c>
      <c r="E152" s="35">
        <v>0</v>
      </c>
      <c r="F152" s="41">
        <f t="shared" si="4"/>
        <v>156</v>
      </c>
    </row>
    <row r="153" spans="1:6" s="37" customFormat="1" ht="55.2">
      <c r="A153" s="35">
        <v>152</v>
      </c>
      <c r="B153" s="36" t="s">
        <v>229</v>
      </c>
      <c r="C153" s="37" t="s">
        <v>179</v>
      </c>
      <c r="D153" s="37" t="s">
        <v>428</v>
      </c>
      <c r="E153" s="35">
        <v>0</v>
      </c>
      <c r="F153" s="41">
        <f t="shared" si="4"/>
        <v>78</v>
      </c>
    </row>
    <row r="154" spans="1:6" s="37" customFormat="1" ht="151.80000000000001">
      <c r="A154" s="35">
        <v>153</v>
      </c>
      <c r="B154" s="36" t="s">
        <v>500</v>
      </c>
      <c r="C154" s="37" t="s">
        <v>227</v>
      </c>
      <c r="D154" s="37" t="s">
        <v>428</v>
      </c>
      <c r="E154" s="35">
        <v>0</v>
      </c>
      <c r="F154" s="41">
        <f t="shared" si="4"/>
        <v>208</v>
      </c>
    </row>
    <row r="155" spans="1:6" s="37" customFormat="1" ht="55.2">
      <c r="A155" s="35">
        <v>154</v>
      </c>
      <c r="B155" s="36" t="s">
        <v>501</v>
      </c>
      <c r="C155" s="37" t="s">
        <v>193</v>
      </c>
      <c r="D155" s="37" t="s">
        <v>428</v>
      </c>
      <c r="E155" s="35">
        <v>0</v>
      </c>
      <c r="F155" s="41">
        <f t="shared" si="4"/>
        <v>92</v>
      </c>
    </row>
    <row r="156" spans="1:6" s="37" customFormat="1" ht="55.2">
      <c r="A156" s="35">
        <v>155</v>
      </c>
      <c r="B156" s="36" t="s">
        <v>502</v>
      </c>
      <c r="C156" s="37" t="s">
        <v>179</v>
      </c>
      <c r="D156" s="37" t="s">
        <v>428</v>
      </c>
      <c r="E156" s="35">
        <v>0</v>
      </c>
      <c r="F156" s="41">
        <f t="shared" si="4"/>
        <v>77</v>
      </c>
    </row>
    <row r="157" spans="1:6" s="37" customFormat="1" ht="69">
      <c r="A157" s="35">
        <v>156</v>
      </c>
      <c r="B157" s="36" t="s">
        <v>503</v>
      </c>
      <c r="C157" s="37" t="s">
        <v>181</v>
      </c>
      <c r="D157" s="37" t="s">
        <v>428</v>
      </c>
      <c r="E157" s="35">
        <v>0</v>
      </c>
      <c r="F157" s="41">
        <f t="shared" si="4"/>
        <v>128</v>
      </c>
    </row>
    <row r="158" spans="1:6" s="37" customFormat="1" ht="110.4">
      <c r="A158" s="35">
        <v>157</v>
      </c>
      <c r="B158" s="36" t="s">
        <v>223</v>
      </c>
      <c r="C158" s="37" t="s">
        <v>193</v>
      </c>
      <c r="D158" s="37" t="s">
        <v>428</v>
      </c>
      <c r="E158" s="35">
        <v>0</v>
      </c>
      <c r="F158" s="41">
        <f t="shared" si="4"/>
        <v>204</v>
      </c>
    </row>
    <row r="159" spans="1:6" s="37" customFormat="1" ht="27.6">
      <c r="A159" s="35">
        <v>158</v>
      </c>
      <c r="B159" s="36" t="s">
        <v>222</v>
      </c>
      <c r="C159" s="37" t="s">
        <v>193</v>
      </c>
      <c r="D159" s="37" t="s">
        <v>428</v>
      </c>
      <c r="E159" s="35">
        <v>0</v>
      </c>
      <c r="F159" s="41">
        <f t="shared" si="4"/>
        <v>42</v>
      </c>
    </row>
    <row r="160" spans="1:6" s="37" customFormat="1" ht="165.6">
      <c r="A160" s="35">
        <v>159</v>
      </c>
      <c r="B160" s="36" t="s">
        <v>221</v>
      </c>
      <c r="C160" s="37" t="s">
        <v>179</v>
      </c>
      <c r="D160" s="37" t="s">
        <v>428</v>
      </c>
      <c r="E160" s="35">
        <v>0</v>
      </c>
      <c r="F160" s="41">
        <f t="shared" si="4"/>
        <v>247</v>
      </c>
    </row>
    <row r="161" spans="1:6" s="37" customFormat="1" ht="96.6">
      <c r="A161" s="35">
        <v>160</v>
      </c>
      <c r="B161" s="36" t="s">
        <v>220</v>
      </c>
      <c r="C161" s="37" t="s">
        <v>193</v>
      </c>
      <c r="D161" s="37" t="s">
        <v>428</v>
      </c>
      <c r="E161" s="35">
        <v>0</v>
      </c>
      <c r="F161" s="41">
        <f t="shared" si="4"/>
        <v>164</v>
      </c>
    </row>
    <row r="162" spans="1:6" s="37" customFormat="1" ht="55.2">
      <c r="A162" s="35">
        <v>161</v>
      </c>
      <c r="B162" s="36" t="s">
        <v>504</v>
      </c>
      <c r="C162" s="37" t="s">
        <v>179</v>
      </c>
      <c r="D162" s="37" t="s">
        <v>428</v>
      </c>
      <c r="E162" s="35">
        <v>0</v>
      </c>
      <c r="F162" s="41">
        <f t="shared" ref="F162:F193" si="5">LEN($B162)-LEN(SUBSTITUTE($B162," ",""))+1</f>
        <v>75</v>
      </c>
    </row>
    <row r="163" spans="1:6" s="37" customFormat="1" ht="69">
      <c r="A163" s="35">
        <v>162</v>
      </c>
      <c r="B163" s="36" t="s">
        <v>218</v>
      </c>
      <c r="C163" s="37" t="s">
        <v>193</v>
      </c>
      <c r="D163" s="37" t="s">
        <v>428</v>
      </c>
      <c r="E163" s="35">
        <v>0</v>
      </c>
      <c r="F163" s="41">
        <f t="shared" si="5"/>
        <v>120</v>
      </c>
    </row>
    <row r="164" spans="1:6" s="37" customFormat="1" ht="41.4">
      <c r="A164" s="35">
        <v>163</v>
      </c>
      <c r="B164" s="36" t="s">
        <v>217</v>
      </c>
      <c r="C164" s="37" t="s">
        <v>55</v>
      </c>
      <c r="D164" s="37" t="s">
        <v>428</v>
      </c>
      <c r="E164" s="35">
        <v>0</v>
      </c>
      <c r="F164" s="41">
        <f t="shared" si="5"/>
        <v>60</v>
      </c>
    </row>
    <row r="165" spans="1:6" s="37" customFormat="1" ht="41.4">
      <c r="A165" s="35">
        <v>164</v>
      </c>
      <c r="B165" s="36" t="s">
        <v>216</v>
      </c>
      <c r="C165" s="37" t="s">
        <v>55</v>
      </c>
      <c r="D165" s="37" t="s">
        <v>428</v>
      </c>
      <c r="E165" s="35">
        <v>0</v>
      </c>
      <c r="F165" s="41">
        <f t="shared" si="5"/>
        <v>48</v>
      </c>
    </row>
    <row r="166" spans="1:6" s="37" customFormat="1" ht="193.2">
      <c r="A166" s="35">
        <v>165</v>
      </c>
      <c r="B166" s="36" t="s">
        <v>505</v>
      </c>
      <c r="C166" s="37" t="s">
        <v>193</v>
      </c>
      <c r="D166" s="37" t="s">
        <v>428</v>
      </c>
      <c r="E166" s="35">
        <v>0</v>
      </c>
      <c r="F166" s="41">
        <f t="shared" si="5"/>
        <v>367</v>
      </c>
    </row>
    <row r="167" spans="1:6" s="37" customFormat="1" ht="69">
      <c r="A167" s="35">
        <v>166</v>
      </c>
      <c r="B167" s="36" t="s">
        <v>506</v>
      </c>
      <c r="C167" s="37" t="s">
        <v>185</v>
      </c>
      <c r="D167" s="37" t="s">
        <v>428</v>
      </c>
      <c r="E167" s="35">
        <v>0</v>
      </c>
      <c r="F167" s="41">
        <f t="shared" si="5"/>
        <v>102</v>
      </c>
    </row>
    <row r="168" spans="1:6" s="37" customFormat="1" ht="82.8">
      <c r="A168" s="35">
        <v>167</v>
      </c>
      <c r="B168" s="36" t="s">
        <v>507</v>
      </c>
      <c r="C168" s="37" t="s">
        <v>198</v>
      </c>
      <c r="D168" s="37" t="s">
        <v>428</v>
      </c>
      <c r="E168" s="35">
        <v>0</v>
      </c>
      <c r="F168" s="41">
        <f t="shared" si="5"/>
        <v>150</v>
      </c>
    </row>
    <row r="169" spans="1:6" s="37" customFormat="1" ht="276">
      <c r="A169" s="35">
        <v>168</v>
      </c>
      <c r="B169" s="36" t="s">
        <v>508</v>
      </c>
      <c r="C169" s="37" t="s">
        <v>58</v>
      </c>
      <c r="D169" s="37" t="s">
        <v>428</v>
      </c>
      <c r="E169" s="35">
        <v>0</v>
      </c>
      <c r="F169" s="41">
        <f t="shared" si="5"/>
        <v>388</v>
      </c>
    </row>
    <row r="170" spans="1:6" s="37" customFormat="1" ht="69">
      <c r="A170" s="35">
        <v>169</v>
      </c>
      <c r="B170" s="36" t="s">
        <v>509</v>
      </c>
      <c r="C170" s="37" t="s">
        <v>193</v>
      </c>
      <c r="D170" s="37" t="s">
        <v>428</v>
      </c>
      <c r="E170" s="35">
        <v>0</v>
      </c>
      <c r="F170" s="41">
        <f t="shared" si="5"/>
        <v>129</v>
      </c>
    </row>
    <row r="171" spans="1:6" s="37" customFormat="1" ht="151.80000000000001">
      <c r="A171" s="35">
        <v>170</v>
      </c>
      <c r="B171" s="36" t="s">
        <v>210</v>
      </c>
      <c r="C171" s="37" t="s">
        <v>193</v>
      </c>
      <c r="D171" s="37" t="s">
        <v>428</v>
      </c>
      <c r="E171" s="35">
        <v>0</v>
      </c>
      <c r="F171" s="41">
        <f t="shared" si="5"/>
        <v>267</v>
      </c>
    </row>
    <row r="172" spans="1:6" s="37" customFormat="1" ht="55.2">
      <c r="A172" s="35">
        <v>171</v>
      </c>
      <c r="B172" s="36" t="s">
        <v>209</v>
      </c>
      <c r="C172" s="37" t="s">
        <v>193</v>
      </c>
      <c r="D172" s="37" t="s">
        <v>428</v>
      </c>
      <c r="E172" s="35">
        <v>0</v>
      </c>
      <c r="F172" s="41">
        <f t="shared" si="5"/>
        <v>97</v>
      </c>
    </row>
    <row r="173" spans="1:6" s="37" customFormat="1" ht="55.2">
      <c r="A173" s="35">
        <v>172</v>
      </c>
      <c r="B173" s="36" t="s">
        <v>208</v>
      </c>
      <c r="C173" s="37" t="s">
        <v>179</v>
      </c>
      <c r="D173" s="37" t="s">
        <v>428</v>
      </c>
      <c r="E173" s="35">
        <v>0</v>
      </c>
      <c r="F173" s="41">
        <f t="shared" si="5"/>
        <v>106</v>
      </c>
    </row>
    <row r="174" spans="1:6" s="37" customFormat="1" ht="179.4">
      <c r="A174" s="35">
        <v>173</v>
      </c>
      <c r="B174" s="36" t="s">
        <v>510</v>
      </c>
      <c r="C174" s="37" t="s">
        <v>58</v>
      </c>
      <c r="D174" s="37" t="s">
        <v>428</v>
      </c>
      <c r="E174" s="35">
        <v>0</v>
      </c>
      <c r="F174" s="41">
        <f t="shared" si="5"/>
        <v>311</v>
      </c>
    </row>
    <row r="175" spans="1:6" s="37" customFormat="1" ht="124.2">
      <c r="A175" s="35">
        <v>174</v>
      </c>
      <c r="B175" s="36" t="s">
        <v>511</v>
      </c>
      <c r="C175" s="37" t="s">
        <v>55</v>
      </c>
      <c r="D175" s="37" t="s">
        <v>428</v>
      </c>
      <c r="E175" s="35">
        <v>0</v>
      </c>
      <c r="F175" s="41">
        <f t="shared" si="5"/>
        <v>208</v>
      </c>
    </row>
    <row r="176" spans="1:6" s="37" customFormat="1" ht="69">
      <c r="A176" s="35">
        <v>175</v>
      </c>
      <c r="B176" s="36" t="s">
        <v>512</v>
      </c>
      <c r="C176" s="37" t="s">
        <v>193</v>
      </c>
      <c r="D176" s="37" t="s">
        <v>428</v>
      </c>
      <c r="E176" s="35">
        <v>0</v>
      </c>
      <c r="F176" s="41">
        <f t="shared" si="5"/>
        <v>114</v>
      </c>
    </row>
    <row r="177" spans="1:6" s="37" customFormat="1" ht="82.8">
      <c r="A177" s="35">
        <v>176</v>
      </c>
      <c r="B177" s="36" t="s">
        <v>204</v>
      </c>
      <c r="C177" s="37" t="s">
        <v>55</v>
      </c>
      <c r="D177" s="37" t="s">
        <v>428</v>
      </c>
      <c r="E177" s="35">
        <v>0</v>
      </c>
      <c r="F177" s="41">
        <f t="shared" si="5"/>
        <v>135</v>
      </c>
    </row>
    <row r="178" spans="1:6" s="37" customFormat="1" ht="55.2">
      <c r="A178" s="35">
        <v>177</v>
      </c>
      <c r="B178" s="36" t="s">
        <v>203</v>
      </c>
      <c r="C178" s="37" t="s">
        <v>193</v>
      </c>
      <c r="D178" s="37" t="s">
        <v>428</v>
      </c>
      <c r="E178" s="35">
        <v>0</v>
      </c>
      <c r="F178" s="41">
        <f t="shared" si="5"/>
        <v>77</v>
      </c>
    </row>
    <row r="179" spans="1:6" s="37" customFormat="1" ht="55.2">
      <c r="A179" s="35">
        <v>178</v>
      </c>
      <c r="B179" s="36" t="s">
        <v>513</v>
      </c>
      <c r="C179" s="37" t="s">
        <v>201</v>
      </c>
      <c r="D179" s="37" t="s">
        <v>428</v>
      </c>
      <c r="E179" s="35">
        <v>0</v>
      </c>
      <c r="F179" s="41">
        <f t="shared" si="5"/>
        <v>97</v>
      </c>
    </row>
    <row r="180" spans="1:6" s="37" customFormat="1" ht="69">
      <c r="A180" s="35">
        <v>179</v>
      </c>
      <c r="B180" s="36" t="s">
        <v>514</v>
      </c>
      <c r="C180" s="37" t="s">
        <v>58</v>
      </c>
      <c r="D180" s="37" t="s">
        <v>428</v>
      </c>
      <c r="E180" s="35">
        <v>0</v>
      </c>
      <c r="F180" s="41">
        <f t="shared" si="5"/>
        <v>109</v>
      </c>
    </row>
    <row r="181" spans="1:6" s="37" customFormat="1" ht="82.8">
      <c r="A181" s="35">
        <v>180</v>
      </c>
      <c r="B181" s="36" t="s">
        <v>515</v>
      </c>
      <c r="C181" s="37" t="s">
        <v>198</v>
      </c>
      <c r="D181" s="37" t="s">
        <v>428</v>
      </c>
      <c r="E181" s="35">
        <v>0</v>
      </c>
      <c r="F181" s="41">
        <f t="shared" si="5"/>
        <v>128</v>
      </c>
    </row>
    <row r="182" spans="1:6" s="37" customFormat="1" ht="82.8">
      <c r="A182" s="35">
        <v>181</v>
      </c>
      <c r="B182" s="36" t="s">
        <v>197</v>
      </c>
      <c r="C182" s="37" t="s">
        <v>185</v>
      </c>
      <c r="D182" s="37" t="s">
        <v>428</v>
      </c>
      <c r="E182" s="35">
        <v>0</v>
      </c>
      <c r="F182" s="41">
        <f t="shared" si="5"/>
        <v>135</v>
      </c>
    </row>
    <row r="183" spans="1:6" s="37" customFormat="1" ht="96.6">
      <c r="A183" s="35">
        <v>182</v>
      </c>
      <c r="B183" s="36" t="s">
        <v>196</v>
      </c>
      <c r="C183" s="37" t="s">
        <v>185</v>
      </c>
      <c r="D183" s="37" t="s">
        <v>428</v>
      </c>
      <c r="E183" s="35">
        <v>0</v>
      </c>
      <c r="F183" s="41">
        <f t="shared" si="5"/>
        <v>139</v>
      </c>
    </row>
    <row r="184" spans="1:6" s="37" customFormat="1" ht="41.4">
      <c r="A184" s="35">
        <v>183</v>
      </c>
      <c r="B184" s="36" t="s">
        <v>195</v>
      </c>
      <c r="C184" s="37" t="s">
        <v>58</v>
      </c>
      <c r="D184" s="37" t="s">
        <v>428</v>
      </c>
      <c r="E184" s="35">
        <v>0</v>
      </c>
      <c r="F184" s="41">
        <f t="shared" si="5"/>
        <v>43</v>
      </c>
    </row>
    <row r="185" spans="1:6" s="37" customFormat="1" ht="41.4">
      <c r="A185" s="35">
        <v>184</v>
      </c>
      <c r="B185" s="36" t="s">
        <v>516</v>
      </c>
      <c r="C185" s="37" t="s">
        <v>193</v>
      </c>
      <c r="D185" s="37" t="s">
        <v>428</v>
      </c>
      <c r="E185" s="35">
        <v>0</v>
      </c>
      <c r="F185" s="41">
        <f t="shared" si="5"/>
        <v>53</v>
      </c>
    </row>
    <row r="186" spans="1:6" s="37" customFormat="1" ht="41.4">
      <c r="A186" s="35">
        <v>185</v>
      </c>
      <c r="B186" s="36" t="s">
        <v>192</v>
      </c>
      <c r="C186" s="37" t="s">
        <v>58</v>
      </c>
      <c r="D186" s="37" t="s">
        <v>428</v>
      </c>
      <c r="E186" s="35">
        <v>0</v>
      </c>
      <c r="F186" s="41">
        <f t="shared" si="5"/>
        <v>62</v>
      </c>
    </row>
    <row r="187" spans="1:6" s="37" customFormat="1" ht="124.2">
      <c r="A187" s="35">
        <v>186</v>
      </c>
      <c r="B187" s="36" t="s">
        <v>191</v>
      </c>
      <c r="C187" s="37" t="s">
        <v>55</v>
      </c>
      <c r="D187" s="37" t="s">
        <v>428</v>
      </c>
      <c r="E187" s="35">
        <v>0</v>
      </c>
      <c r="F187" s="41">
        <f t="shared" si="5"/>
        <v>217</v>
      </c>
    </row>
    <row r="188" spans="1:6" s="37" customFormat="1" ht="400.2">
      <c r="A188" s="35">
        <v>187</v>
      </c>
      <c r="B188" s="36" t="s">
        <v>517</v>
      </c>
      <c r="C188" s="37" t="s">
        <v>55</v>
      </c>
      <c r="D188" s="37" t="s">
        <v>428</v>
      </c>
      <c r="E188" s="35">
        <v>0</v>
      </c>
      <c r="F188" s="41">
        <f t="shared" si="5"/>
        <v>702</v>
      </c>
    </row>
    <row r="189" spans="1:6" s="37" customFormat="1" ht="69">
      <c r="A189" s="35">
        <v>188</v>
      </c>
      <c r="B189" s="36" t="s">
        <v>189</v>
      </c>
      <c r="C189" s="37" t="s">
        <v>55</v>
      </c>
      <c r="D189" s="37" t="s">
        <v>428</v>
      </c>
      <c r="E189" s="35">
        <v>0</v>
      </c>
      <c r="F189" s="41">
        <f t="shared" si="5"/>
        <v>133</v>
      </c>
    </row>
    <row r="190" spans="1:6" s="37" customFormat="1" ht="55.2">
      <c r="A190" s="35">
        <v>189</v>
      </c>
      <c r="B190" s="36" t="s">
        <v>188</v>
      </c>
      <c r="C190" s="37" t="s">
        <v>187</v>
      </c>
      <c r="D190" s="37" t="s">
        <v>428</v>
      </c>
      <c r="E190" s="20">
        <v>0</v>
      </c>
      <c r="F190" s="41">
        <f t="shared" si="5"/>
        <v>90</v>
      </c>
    </row>
    <row r="191" spans="1:6" s="37" customFormat="1" ht="55.2">
      <c r="A191" s="35">
        <v>190</v>
      </c>
      <c r="B191" s="36" t="s">
        <v>186</v>
      </c>
      <c r="C191" s="37" t="s">
        <v>185</v>
      </c>
      <c r="D191" s="37" t="s">
        <v>428</v>
      </c>
      <c r="E191" s="35">
        <v>0</v>
      </c>
      <c r="F191" s="41">
        <f t="shared" si="5"/>
        <v>79</v>
      </c>
    </row>
    <row r="192" spans="1:6" s="37" customFormat="1" ht="55.2">
      <c r="A192" s="35">
        <v>191</v>
      </c>
      <c r="B192" s="36" t="s">
        <v>184</v>
      </c>
      <c r="C192" s="37" t="s">
        <v>58</v>
      </c>
      <c r="D192" s="37" t="s">
        <v>428</v>
      </c>
      <c r="E192" s="35">
        <v>0</v>
      </c>
      <c r="F192" s="41">
        <f t="shared" si="5"/>
        <v>97</v>
      </c>
    </row>
    <row r="193" spans="1:6" s="37" customFormat="1" ht="96.6">
      <c r="A193" s="35">
        <v>192</v>
      </c>
      <c r="B193" s="36" t="s">
        <v>518</v>
      </c>
      <c r="C193" s="37" t="s">
        <v>179</v>
      </c>
      <c r="D193" s="37" t="s">
        <v>428</v>
      </c>
      <c r="E193" s="35">
        <v>0</v>
      </c>
      <c r="F193" s="41">
        <f t="shared" si="5"/>
        <v>182</v>
      </c>
    </row>
    <row r="194" spans="1:6" s="37" customFormat="1" ht="82.8">
      <c r="A194" s="35">
        <v>193</v>
      </c>
      <c r="B194" s="36" t="s">
        <v>182</v>
      </c>
      <c r="C194" s="37" t="s">
        <v>181</v>
      </c>
      <c r="D194" s="37" t="s">
        <v>428</v>
      </c>
      <c r="E194" s="35">
        <v>0</v>
      </c>
      <c r="F194" s="41">
        <f t="shared" ref="F194:F201" si="6">LEN($B194)-LEN(SUBSTITUTE($B194," ",""))+1</f>
        <v>123</v>
      </c>
    </row>
    <row r="195" spans="1:6" s="37" customFormat="1" ht="27.6">
      <c r="A195" s="35">
        <v>194</v>
      </c>
      <c r="B195" s="36" t="s">
        <v>180</v>
      </c>
      <c r="C195" s="37" t="s">
        <v>179</v>
      </c>
      <c r="D195" s="37" t="s">
        <v>428</v>
      </c>
      <c r="E195" s="35">
        <v>0</v>
      </c>
      <c r="F195" s="41">
        <f t="shared" si="6"/>
        <v>57</v>
      </c>
    </row>
    <row r="196" spans="1:6" s="37" customFormat="1" ht="69">
      <c r="A196" s="35">
        <v>195</v>
      </c>
      <c r="B196" s="36" t="s">
        <v>178</v>
      </c>
      <c r="C196" s="37" t="s">
        <v>55</v>
      </c>
      <c r="D196" s="37" t="s">
        <v>428</v>
      </c>
      <c r="E196" s="35">
        <v>0</v>
      </c>
      <c r="F196" s="41">
        <f t="shared" si="6"/>
        <v>107</v>
      </c>
    </row>
    <row r="197" spans="1:6" s="37" customFormat="1" ht="151.80000000000001">
      <c r="A197" s="35">
        <v>196</v>
      </c>
      <c r="B197" s="36" t="s">
        <v>519</v>
      </c>
      <c r="C197" s="37" t="s">
        <v>174</v>
      </c>
      <c r="D197" s="37" t="s">
        <v>428</v>
      </c>
      <c r="E197" s="35">
        <v>1</v>
      </c>
      <c r="F197" s="41">
        <f t="shared" si="6"/>
        <v>268</v>
      </c>
    </row>
    <row r="198" spans="1:6" s="37" customFormat="1" ht="41.4">
      <c r="A198" s="35">
        <v>197</v>
      </c>
      <c r="B198" s="36" t="s">
        <v>176</v>
      </c>
      <c r="C198" s="37" t="s">
        <v>50</v>
      </c>
      <c r="D198" s="37" t="s">
        <v>428</v>
      </c>
      <c r="E198" s="35">
        <v>0</v>
      </c>
      <c r="F198" s="41">
        <f t="shared" si="6"/>
        <v>61</v>
      </c>
    </row>
    <row r="199" spans="1:6" s="37" customFormat="1" ht="96.6">
      <c r="A199" s="35">
        <v>198</v>
      </c>
      <c r="B199" s="36" t="s">
        <v>175</v>
      </c>
      <c r="C199" s="37" t="s">
        <v>174</v>
      </c>
      <c r="D199" s="37" t="s">
        <v>428</v>
      </c>
      <c r="E199" s="35">
        <v>1</v>
      </c>
      <c r="F199" s="41">
        <f t="shared" si="6"/>
        <v>165</v>
      </c>
    </row>
    <row r="200" spans="1:6" s="37" customFormat="1" ht="27.6">
      <c r="A200" s="35">
        <v>199</v>
      </c>
      <c r="B200" s="36" t="s">
        <v>173</v>
      </c>
      <c r="C200" s="37" t="s">
        <v>55</v>
      </c>
      <c r="D200" s="37" t="s">
        <v>428</v>
      </c>
      <c r="E200" s="35">
        <v>0</v>
      </c>
      <c r="F200" s="41">
        <f t="shared" si="6"/>
        <v>49</v>
      </c>
    </row>
    <row r="201" spans="1:6" s="37" customFormat="1" ht="69">
      <c r="A201" s="35">
        <v>200</v>
      </c>
      <c r="B201" s="36" t="s">
        <v>520</v>
      </c>
      <c r="C201" s="37" t="s">
        <v>55</v>
      </c>
      <c r="D201" s="37" t="s">
        <v>428</v>
      </c>
      <c r="E201" s="35">
        <v>0</v>
      </c>
      <c r="F201" s="41">
        <f t="shared" si="6"/>
        <v>129</v>
      </c>
    </row>
  </sheetData>
  <autoFilter ref="A1:F1" xr:uid="{AC43585E-CC17-44FA-8C89-C7684D68BB51}">
    <sortState xmlns:xlrd2="http://schemas.microsoft.com/office/spreadsheetml/2017/richdata2" ref="A2:F201">
      <sortCondition ref="A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E4E69-AF01-4BEB-A3E5-5C6605A1889E}">
  <sheetPr codeName="Sheet3"/>
  <dimension ref="A1:G201"/>
  <sheetViews>
    <sheetView topLeftCell="A99" workbookViewId="0">
      <selection activeCell="H101" sqref="H101"/>
    </sheetView>
  </sheetViews>
  <sheetFormatPr defaultColWidth="9.109375" defaultRowHeight="14.4"/>
  <cols>
    <col min="1" max="1" width="5.88671875" style="35" bestFit="1" customWidth="1"/>
    <col min="2" max="2" width="130.5546875" style="30" customWidth="1"/>
    <col min="3" max="3" width="15.5546875" style="30" customWidth="1"/>
    <col min="4" max="4" width="10" style="20" bestFit="1" customWidth="1"/>
    <col min="5" max="5" width="11.77734375" style="20" bestFit="1" customWidth="1"/>
    <col min="6" max="6" width="9.109375" style="35"/>
    <col min="7" max="16384" width="9.109375" style="30"/>
  </cols>
  <sheetData>
    <row r="1" spans="1:7" s="16" customFormat="1" ht="13.8">
      <c r="A1" s="34" t="s">
        <v>584</v>
      </c>
      <c r="B1" s="15" t="s">
        <v>421</v>
      </c>
      <c r="C1" s="15" t="s">
        <v>423</v>
      </c>
      <c r="D1" s="16" t="s">
        <v>424</v>
      </c>
      <c r="E1" s="16" t="s">
        <v>422</v>
      </c>
      <c r="F1" s="34" t="s">
        <v>583</v>
      </c>
    </row>
    <row r="2" spans="1:7" ht="82.8">
      <c r="A2" s="35">
        <v>1</v>
      </c>
      <c r="B2" s="20" t="s">
        <v>521</v>
      </c>
      <c r="C2" s="20" t="s">
        <v>62</v>
      </c>
      <c r="D2" s="20" t="s">
        <v>429</v>
      </c>
      <c r="E2" s="20">
        <v>0</v>
      </c>
      <c r="F2" s="41">
        <f t="shared" ref="F2:F33" si="0">LEN($B2)-LEN(SUBSTITUTE($B2," ",""))+1</f>
        <v>142</v>
      </c>
      <c r="G2">
        <v>80</v>
      </c>
    </row>
    <row r="3" spans="1:7" ht="41.4">
      <c r="A3" s="35">
        <v>2</v>
      </c>
      <c r="B3" s="20" t="s">
        <v>118</v>
      </c>
      <c r="C3" s="20" t="s">
        <v>65</v>
      </c>
      <c r="D3" s="20" t="s">
        <v>429</v>
      </c>
      <c r="E3" s="20">
        <v>0</v>
      </c>
      <c r="F3" s="41">
        <f t="shared" si="0"/>
        <v>56</v>
      </c>
      <c r="G3">
        <v>70</v>
      </c>
    </row>
    <row r="4" spans="1:7" ht="41.4">
      <c r="A4" s="35">
        <v>3</v>
      </c>
      <c r="B4" s="20" t="s">
        <v>119</v>
      </c>
      <c r="C4" s="20" t="s">
        <v>63</v>
      </c>
      <c r="D4" s="20" t="s">
        <v>429</v>
      </c>
      <c r="E4" s="20">
        <v>0</v>
      </c>
      <c r="F4" s="41">
        <f t="shared" si="0"/>
        <v>65</v>
      </c>
      <c r="G4">
        <v>72</v>
      </c>
    </row>
    <row r="5" spans="1:7" ht="124.2">
      <c r="A5" s="35">
        <v>4</v>
      </c>
      <c r="B5" s="20" t="s">
        <v>522</v>
      </c>
      <c r="C5" s="20" t="s">
        <v>63</v>
      </c>
      <c r="D5" s="20" t="s">
        <v>429</v>
      </c>
      <c r="E5" s="20">
        <v>0</v>
      </c>
      <c r="F5" s="41">
        <f t="shared" si="0"/>
        <v>180</v>
      </c>
      <c r="G5">
        <v>121</v>
      </c>
    </row>
    <row r="6" spans="1:7" ht="27.6">
      <c r="A6" s="35">
        <v>5</v>
      </c>
      <c r="B6" s="20" t="s">
        <v>523</v>
      </c>
      <c r="C6" s="20" t="s">
        <v>55</v>
      </c>
      <c r="D6" s="20" t="s">
        <v>429</v>
      </c>
      <c r="E6" s="20">
        <v>0</v>
      </c>
      <c r="F6" s="41">
        <f t="shared" si="0"/>
        <v>43</v>
      </c>
      <c r="G6">
        <v>141</v>
      </c>
    </row>
    <row r="7" spans="1:7" ht="110.4">
      <c r="A7" s="35">
        <v>6</v>
      </c>
      <c r="B7" s="20" t="s">
        <v>122</v>
      </c>
      <c r="C7" s="20" t="s">
        <v>63</v>
      </c>
      <c r="D7" s="20" t="s">
        <v>429</v>
      </c>
      <c r="E7" s="20">
        <v>0</v>
      </c>
      <c r="F7" s="41">
        <f t="shared" si="0"/>
        <v>187</v>
      </c>
      <c r="G7">
        <v>173</v>
      </c>
    </row>
    <row r="8" spans="1:7" ht="69">
      <c r="A8" s="35">
        <v>7</v>
      </c>
      <c r="B8" s="20" t="s">
        <v>524</v>
      </c>
      <c r="C8" s="20" t="s">
        <v>65</v>
      </c>
      <c r="D8" s="20" t="s">
        <v>429</v>
      </c>
      <c r="E8" s="20">
        <v>0</v>
      </c>
      <c r="F8" s="41">
        <f t="shared" si="0"/>
        <v>119</v>
      </c>
      <c r="G8">
        <v>65</v>
      </c>
    </row>
    <row r="9" spans="1:7" ht="41.4">
      <c r="A9" s="35">
        <v>8</v>
      </c>
      <c r="B9" s="20" t="s">
        <v>124</v>
      </c>
      <c r="C9" s="20" t="s">
        <v>63</v>
      </c>
      <c r="D9" s="20" t="s">
        <v>429</v>
      </c>
      <c r="E9" s="20">
        <v>0</v>
      </c>
      <c r="F9" s="41">
        <f t="shared" si="0"/>
        <v>43</v>
      </c>
      <c r="G9">
        <v>109</v>
      </c>
    </row>
    <row r="10" spans="1:7" ht="41.4">
      <c r="A10" s="35">
        <v>9</v>
      </c>
      <c r="B10" s="20" t="s">
        <v>525</v>
      </c>
      <c r="C10" s="20" t="s">
        <v>58</v>
      </c>
      <c r="D10" s="20" t="s">
        <v>429</v>
      </c>
      <c r="E10" s="20">
        <v>0</v>
      </c>
      <c r="F10" s="41">
        <f t="shared" si="0"/>
        <v>55</v>
      </c>
      <c r="G10">
        <v>126</v>
      </c>
    </row>
    <row r="11" spans="1:7" ht="82.8">
      <c r="A11" s="35">
        <v>10</v>
      </c>
      <c r="B11" s="20" t="s">
        <v>526</v>
      </c>
      <c r="C11" s="20" t="s">
        <v>49</v>
      </c>
      <c r="D11" s="20" t="s">
        <v>429</v>
      </c>
      <c r="E11" s="20">
        <v>1</v>
      </c>
      <c r="F11" s="41">
        <f t="shared" si="0"/>
        <v>125</v>
      </c>
      <c r="G11">
        <v>77</v>
      </c>
    </row>
    <row r="12" spans="1:7" ht="41.4">
      <c r="A12" s="35">
        <v>11</v>
      </c>
      <c r="B12" s="20" t="s">
        <v>127</v>
      </c>
      <c r="C12" s="20" t="s">
        <v>55</v>
      </c>
      <c r="D12" s="20" t="s">
        <v>429</v>
      </c>
      <c r="E12" s="20">
        <v>0</v>
      </c>
      <c r="F12" s="41">
        <f t="shared" si="0"/>
        <v>71</v>
      </c>
      <c r="G12">
        <v>55</v>
      </c>
    </row>
    <row r="13" spans="1:7" ht="69">
      <c r="A13" s="35">
        <v>12</v>
      </c>
      <c r="B13" s="20" t="s">
        <v>527</v>
      </c>
      <c r="C13" s="20" t="s">
        <v>59</v>
      </c>
      <c r="D13" s="20" t="s">
        <v>429</v>
      </c>
      <c r="E13" s="20">
        <v>0</v>
      </c>
      <c r="F13" s="41">
        <f t="shared" si="0"/>
        <v>100</v>
      </c>
      <c r="G13">
        <v>33</v>
      </c>
    </row>
    <row r="14" spans="1:7" ht="138">
      <c r="A14" s="35">
        <v>13</v>
      </c>
      <c r="B14" s="20" t="s">
        <v>528</v>
      </c>
      <c r="C14" s="20" t="s">
        <v>54</v>
      </c>
      <c r="D14" s="20" t="s">
        <v>429</v>
      </c>
      <c r="E14" s="20">
        <v>3</v>
      </c>
      <c r="F14" s="41">
        <f t="shared" si="0"/>
        <v>220</v>
      </c>
      <c r="G14">
        <v>105</v>
      </c>
    </row>
    <row r="15" spans="1:7" ht="27.6">
      <c r="A15" s="35">
        <v>14</v>
      </c>
      <c r="B15" s="20" t="s">
        <v>130</v>
      </c>
      <c r="C15" s="20" t="s">
        <v>131</v>
      </c>
      <c r="D15" s="20" t="s">
        <v>429</v>
      </c>
      <c r="E15" s="20">
        <v>7</v>
      </c>
      <c r="F15" s="41">
        <f t="shared" si="0"/>
        <v>49</v>
      </c>
      <c r="G15">
        <v>137</v>
      </c>
    </row>
    <row r="16" spans="1:7" ht="82.8">
      <c r="A16" s="35">
        <v>15</v>
      </c>
      <c r="B16" s="20" t="s">
        <v>132</v>
      </c>
      <c r="C16" s="20" t="s">
        <v>53</v>
      </c>
      <c r="D16" s="20" t="s">
        <v>429</v>
      </c>
      <c r="E16" s="20">
        <v>0</v>
      </c>
      <c r="F16" s="41">
        <f t="shared" si="0"/>
        <v>121</v>
      </c>
      <c r="G16">
        <v>132</v>
      </c>
    </row>
    <row r="17" spans="1:7" ht="110.4">
      <c r="A17" s="35">
        <v>16</v>
      </c>
      <c r="B17" s="20" t="s">
        <v>529</v>
      </c>
      <c r="C17" s="20" t="s">
        <v>49</v>
      </c>
      <c r="D17" s="20" t="s">
        <v>429</v>
      </c>
      <c r="E17" s="20">
        <v>1</v>
      </c>
      <c r="F17" s="41">
        <f t="shared" si="0"/>
        <v>185</v>
      </c>
      <c r="G17">
        <v>188</v>
      </c>
    </row>
    <row r="18" spans="1:7" ht="138">
      <c r="A18" s="35">
        <v>17</v>
      </c>
      <c r="B18" s="20" t="s">
        <v>530</v>
      </c>
      <c r="C18" s="20" t="s">
        <v>61</v>
      </c>
      <c r="D18" s="20" t="s">
        <v>429</v>
      </c>
      <c r="E18" s="20">
        <v>0</v>
      </c>
      <c r="F18" s="41">
        <f t="shared" si="0"/>
        <v>216</v>
      </c>
      <c r="G18">
        <v>142</v>
      </c>
    </row>
    <row r="19" spans="1:7" ht="27.6">
      <c r="A19" s="35">
        <v>18</v>
      </c>
      <c r="B19" s="20" t="s">
        <v>135</v>
      </c>
      <c r="C19" s="20" t="s">
        <v>54</v>
      </c>
      <c r="D19" s="20" t="s">
        <v>429</v>
      </c>
      <c r="E19" s="20">
        <v>3</v>
      </c>
      <c r="F19" s="41">
        <f t="shared" si="0"/>
        <v>31</v>
      </c>
      <c r="G19">
        <v>166</v>
      </c>
    </row>
    <row r="20" spans="1:7" ht="27.6">
      <c r="A20" s="35">
        <v>19</v>
      </c>
      <c r="B20" s="20" t="s">
        <v>136</v>
      </c>
      <c r="C20" s="20" t="s">
        <v>137</v>
      </c>
      <c r="D20" s="20" t="s">
        <v>429</v>
      </c>
      <c r="E20" s="20">
        <v>9</v>
      </c>
      <c r="F20" s="41">
        <f t="shared" si="0"/>
        <v>49</v>
      </c>
      <c r="G20">
        <v>196</v>
      </c>
    </row>
    <row r="21" spans="1:7" ht="69">
      <c r="A21" s="35">
        <v>20</v>
      </c>
      <c r="B21" s="20" t="s">
        <v>138</v>
      </c>
      <c r="C21" s="20" t="s">
        <v>60</v>
      </c>
      <c r="D21" s="20" t="s">
        <v>429</v>
      </c>
      <c r="E21" s="20">
        <v>2</v>
      </c>
      <c r="F21" s="41">
        <f t="shared" si="0"/>
        <v>121</v>
      </c>
      <c r="G21">
        <v>42</v>
      </c>
    </row>
    <row r="22" spans="1:7" ht="27.6">
      <c r="A22" s="35">
        <v>21</v>
      </c>
      <c r="B22" s="20" t="s">
        <v>139</v>
      </c>
      <c r="C22" s="20" t="s">
        <v>140</v>
      </c>
      <c r="D22" s="20" t="s">
        <v>429</v>
      </c>
      <c r="E22" s="20">
        <v>5</v>
      </c>
      <c r="F22" s="41">
        <f t="shared" si="0"/>
        <v>32</v>
      </c>
      <c r="G22">
        <v>131</v>
      </c>
    </row>
    <row r="23" spans="1:7" ht="27.6">
      <c r="A23" s="35">
        <v>22</v>
      </c>
      <c r="B23" s="20" t="s">
        <v>141</v>
      </c>
      <c r="C23" s="20" t="s">
        <v>63</v>
      </c>
      <c r="D23" s="20" t="s">
        <v>429</v>
      </c>
      <c r="E23" s="20">
        <v>0</v>
      </c>
      <c r="F23" s="41">
        <f t="shared" si="0"/>
        <v>45</v>
      </c>
      <c r="G23">
        <v>191</v>
      </c>
    </row>
    <row r="24" spans="1:7" ht="55.2">
      <c r="A24" s="35">
        <v>23</v>
      </c>
      <c r="B24" s="20" t="s">
        <v>531</v>
      </c>
      <c r="C24" s="20" t="s">
        <v>49</v>
      </c>
      <c r="D24" s="20" t="s">
        <v>429</v>
      </c>
      <c r="E24" s="20">
        <v>1</v>
      </c>
      <c r="F24" s="41">
        <f t="shared" si="0"/>
        <v>95</v>
      </c>
      <c r="G24">
        <v>57</v>
      </c>
    </row>
    <row r="25" spans="1:7" ht="27.6">
      <c r="A25" s="35">
        <v>24</v>
      </c>
      <c r="B25" s="20" t="s">
        <v>532</v>
      </c>
      <c r="C25" s="20" t="s">
        <v>62</v>
      </c>
      <c r="D25" s="20" t="s">
        <v>429</v>
      </c>
      <c r="E25" s="20">
        <v>0</v>
      </c>
      <c r="F25" s="41">
        <f t="shared" si="0"/>
        <v>34</v>
      </c>
      <c r="G25">
        <v>127</v>
      </c>
    </row>
    <row r="26" spans="1:7" ht="41.4">
      <c r="A26" s="35">
        <v>25</v>
      </c>
      <c r="B26" s="20" t="s">
        <v>144</v>
      </c>
      <c r="C26" s="20" t="s">
        <v>56</v>
      </c>
      <c r="D26" s="20" t="s">
        <v>429</v>
      </c>
      <c r="E26" s="20">
        <v>0</v>
      </c>
      <c r="F26" s="41">
        <f t="shared" si="0"/>
        <v>62</v>
      </c>
      <c r="G26">
        <v>40</v>
      </c>
    </row>
    <row r="27" spans="1:7" ht="69">
      <c r="A27" s="35">
        <v>26</v>
      </c>
      <c r="B27" s="20" t="s">
        <v>533</v>
      </c>
      <c r="C27" s="20" t="s">
        <v>54</v>
      </c>
      <c r="D27" s="20" t="s">
        <v>429</v>
      </c>
      <c r="E27" s="20">
        <v>3</v>
      </c>
      <c r="F27" s="41">
        <f t="shared" si="0"/>
        <v>126</v>
      </c>
      <c r="G27">
        <v>20</v>
      </c>
    </row>
    <row r="28" spans="1:7" ht="27.6">
      <c r="A28" s="35">
        <v>27</v>
      </c>
      <c r="B28" s="20" t="s">
        <v>146</v>
      </c>
      <c r="C28" s="20" t="s">
        <v>54</v>
      </c>
      <c r="D28" s="20" t="s">
        <v>429</v>
      </c>
      <c r="E28" s="20">
        <v>3</v>
      </c>
      <c r="F28" s="41">
        <f t="shared" si="0"/>
        <v>36</v>
      </c>
      <c r="G28">
        <v>134</v>
      </c>
    </row>
    <row r="29" spans="1:7" ht="55.2">
      <c r="A29" s="35">
        <v>28</v>
      </c>
      <c r="B29" s="20" t="s">
        <v>147</v>
      </c>
      <c r="C29" s="20" t="s">
        <v>51</v>
      </c>
      <c r="D29" s="20" t="s">
        <v>429</v>
      </c>
      <c r="E29" s="20">
        <v>0</v>
      </c>
      <c r="F29" s="41">
        <f t="shared" si="0"/>
        <v>80</v>
      </c>
      <c r="G29">
        <v>124</v>
      </c>
    </row>
    <row r="30" spans="1:7" ht="69">
      <c r="A30" s="35">
        <v>29</v>
      </c>
      <c r="B30" s="20" t="s">
        <v>148</v>
      </c>
      <c r="C30" s="20" t="s">
        <v>149</v>
      </c>
      <c r="D30" s="20" t="s">
        <v>429</v>
      </c>
      <c r="E30" s="20">
        <v>0</v>
      </c>
      <c r="F30" s="41">
        <f t="shared" si="0"/>
        <v>109</v>
      </c>
      <c r="G30">
        <v>86</v>
      </c>
    </row>
    <row r="31" spans="1:7" ht="41.4">
      <c r="A31" s="35">
        <v>30</v>
      </c>
      <c r="B31" s="20" t="s">
        <v>150</v>
      </c>
      <c r="C31" s="20" t="s">
        <v>54</v>
      </c>
      <c r="D31" s="20" t="s">
        <v>429</v>
      </c>
      <c r="E31" s="20">
        <v>3</v>
      </c>
      <c r="F31" s="41">
        <f t="shared" si="0"/>
        <v>66</v>
      </c>
      <c r="G31">
        <v>189</v>
      </c>
    </row>
    <row r="32" spans="1:7" ht="55.2">
      <c r="A32" s="35">
        <v>31</v>
      </c>
      <c r="B32" s="20" t="s">
        <v>151</v>
      </c>
      <c r="C32" s="20" t="s">
        <v>54</v>
      </c>
      <c r="D32" s="20" t="s">
        <v>429</v>
      </c>
      <c r="E32" s="20">
        <v>3</v>
      </c>
      <c r="F32" s="41">
        <f t="shared" si="0"/>
        <v>89</v>
      </c>
      <c r="G32">
        <v>179</v>
      </c>
    </row>
    <row r="33" spans="1:7" ht="27.6">
      <c r="A33" s="35">
        <v>32</v>
      </c>
      <c r="B33" s="20" t="s">
        <v>152</v>
      </c>
      <c r="C33" s="20" t="s">
        <v>60</v>
      </c>
      <c r="D33" s="20" t="s">
        <v>429</v>
      </c>
      <c r="E33" s="20">
        <v>2</v>
      </c>
      <c r="F33" s="41">
        <f t="shared" si="0"/>
        <v>38</v>
      </c>
      <c r="G33">
        <v>156</v>
      </c>
    </row>
    <row r="34" spans="1:7" ht="124.2">
      <c r="A34" s="35">
        <v>33</v>
      </c>
      <c r="B34" s="20" t="s">
        <v>153</v>
      </c>
      <c r="C34" s="20" t="s">
        <v>49</v>
      </c>
      <c r="D34" s="20" t="s">
        <v>429</v>
      </c>
      <c r="E34" s="20">
        <v>1</v>
      </c>
      <c r="F34" s="41">
        <f t="shared" ref="F34:F65" si="1">LEN($B34)-LEN(SUBSTITUTE($B34," ",""))+1</f>
        <v>212</v>
      </c>
      <c r="G34">
        <v>67</v>
      </c>
    </row>
    <row r="35" spans="1:7" ht="96.6">
      <c r="A35" s="35">
        <v>34</v>
      </c>
      <c r="B35" s="20" t="s">
        <v>534</v>
      </c>
      <c r="C35" s="20" t="s">
        <v>155</v>
      </c>
      <c r="D35" s="20" t="s">
        <v>429</v>
      </c>
      <c r="E35" s="20">
        <v>8</v>
      </c>
      <c r="F35" s="41">
        <f t="shared" si="1"/>
        <v>174</v>
      </c>
      <c r="G35">
        <v>115</v>
      </c>
    </row>
    <row r="36" spans="1:7" ht="69">
      <c r="A36" s="35">
        <v>35</v>
      </c>
      <c r="B36" s="20" t="s">
        <v>156</v>
      </c>
      <c r="C36" s="20" t="s">
        <v>52</v>
      </c>
      <c r="D36" s="20" t="s">
        <v>429</v>
      </c>
      <c r="E36" s="20">
        <v>0</v>
      </c>
      <c r="F36" s="41">
        <f t="shared" si="1"/>
        <v>109</v>
      </c>
      <c r="G36">
        <v>99</v>
      </c>
    </row>
    <row r="37" spans="1:7" ht="41.4">
      <c r="A37" s="35">
        <v>36</v>
      </c>
      <c r="B37" s="20" t="s">
        <v>535</v>
      </c>
      <c r="C37" s="20" t="s">
        <v>49</v>
      </c>
      <c r="D37" s="20" t="s">
        <v>429</v>
      </c>
      <c r="E37" s="20">
        <v>1</v>
      </c>
      <c r="F37" s="41">
        <f t="shared" si="1"/>
        <v>69</v>
      </c>
      <c r="G37">
        <v>91</v>
      </c>
    </row>
    <row r="38" spans="1:7" ht="207">
      <c r="A38" s="35">
        <v>37</v>
      </c>
      <c r="B38" s="20" t="s">
        <v>536</v>
      </c>
      <c r="C38" s="20" t="s">
        <v>49</v>
      </c>
      <c r="D38" s="20" t="s">
        <v>429</v>
      </c>
      <c r="E38" s="20">
        <v>1</v>
      </c>
      <c r="F38" s="41">
        <f t="shared" si="1"/>
        <v>327</v>
      </c>
      <c r="G38">
        <v>58</v>
      </c>
    </row>
    <row r="39" spans="1:7" ht="55.2">
      <c r="A39" s="35">
        <v>38</v>
      </c>
      <c r="B39" s="20" t="s">
        <v>537</v>
      </c>
      <c r="C39" s="20" t="s">
        <v>51</v>
      </c>
      <c r="D39" s="20" t="s">
        <v>429</v>
      </c>
      <c r="E39" s="20">
        <v>0</v>
      </c>
      <c r="F39" s="41">
        <f t="shared" si="1"/>
        <v>93</v>
      </c>
      <c r="G39">
        <v>6</v>
      </c>
    </row>
    <row r="40" spans="1:7" ht="110.4">
      <c r="A40" s="35">
        <v>39</v>
      </c>
      <c r="B40" s="20" t="s">
        <v>160</v>
      </c>
      <c r="C40" s="20" t="s">
        <v>49</v>
      </c>
      <c r="D40" s="20" t="s">
        <v>429</v>
      </c>
      <c r="E40" s="20">
        <v>1</v>
      </c>
      <c r="F40" s="41">
        <f t="shared" si="1"/>
        <v>188</v>
      </c>
      <c r="G40">
        <v>75</v>
      </c>
    </row>
    <row r="41" spans="1:7" ht="124.2">
      <c r="A41" s="35">
        <v>40</v>
      </c>
      <c r="B41" s="20" t="s">
        <v>538</v>
      </c>
      <c r="C41" s="20" t="s">
        <v>49</v>
      </c>
      <c r="D41" s="20" t="s">
        <v>429</v>
      </c>
      <c r="E41" s="20">
        <v>1</v>
      </c>
      <c r="F41" s="41">
        <f t="shared" si="1"/>
        <v>202</v>
      </c>
      <c r="G41">
        <v>63</v>
      </c>
    </row>
    <row r="42" spans="1:7" ht="55.2">
      <c r="A42" s="35">
        <v>41</v>
      </c>
      <c r="B42" s="20" t="s">
        <v>162</v>
      </c>
      <c r="C42" s="20" t="s">
        <v>49</v>
      </c>
      <c r="D42" s="20" t="s">
        <v>429</v>
      </c>
      <c r="E42" s="20">
        <v>1</v>
      </c>
      <c r="F42" s="41">
        <f t="shared" si="1"/>
        <v>87</v>
      </c>
      <c r="G42">
        <v>150</v>
      </c>
    </row>
    <row r="43" spans="1:7" ht="82.8">
      <c r="A43" s="35">
        <v>42</v>
      </c>
      <c r="B43" s="20" t="s">
        <v>539</v>
      </c>
      <c r="C43" s="20" t="s">
        <v>49</v>
      </c>
      <c r="D43" s="20" t="s">
        <v>429</v>
      </c>
      <c r="E43" s="20">
        <v>1</v>
      </c>
      <c r="F43" s="41">
        <f t="shared" si="1"/>
        <v>129</v>
      </c>
      <c r="G43">
        <v>71</v>
      </c>
    </row>
    <row r="44" spans="1:7">
      <c r="A44" s="35">
        <v>43</v>
      </c>
      <c r="B44" s="20" t="s">
        <v>164</v>
      </c>
      <c r="C44" s="20" t="s">
        <v>65</v>
      </c>
      <c r="D44" s="20" t="s">
        <v>429</v>
      </c>
      <c r="E44" s="20">
        <v>0</v>
      </c>
      <c r="F44" s="41">
        <f t="shared" si="1"/>
        <v>11</v>
      </c>
      <c r="G44">
        <v>154</v>
      </c>
    </row>
    <row r="45" spans="1:7" ht="41.4">
      <c r="A45" s="35">
        <v>44</v>
      </c>
      <c r="B45" s="20" t="s">
        <v>540</v>
      </c>
      <c r="C45" s="20" t="s">
        <v>49</v>
      </c>
      <c r="D45" s="20" t="s">
        <v>429</v>
      </c>
      <c r="E45" s="20">
        <v>1</v>
      </c>
      <c r="F45" s="41">
        <f t="shared" si="1"/>
        <v>74</v>
      </c>
      <c r="G45">
        <v>104</v>
      </c>
    </row>
    <row r="46" spans="1:7" ht="248.4">
      <c r="A46" s="35">
        <v>45</v>
      </c>
      <c r="B46" s="20" t="s">
        <v>541</v>
      </c>
      <c r="C46" s="20" t="s">
        <v>54</v>
      </c>
      <c r="D46" s="20" t="s">
        <v>429</v>
      </c>
      <c r="E46" s="20">
        <v>3</v>
      </c>
      <c r="F46" s="41">
        <f t="shared" si="1"/>
        <v>440</v>
      </c>
      <c r="G46">
        <v>157</v>
      </c>
    </row>
    <row r="47" spans="1:7" ht="110.4">
      <c r="A47" s="35">
        <v>46</v>
      </c>
      <c r="B47" s="20" t="s">
        <v>167</v>
      </c>
      <c r="C47" s="20" t="s">
        <v>54</v>
      </c>
      <c r="D47" s="20" t="s">
        <v>429</v>
      </c>
      <c r="E47" s="20">
        <v>3</v>
      </c>
      <c r="F47" s="41">
        <f t="shared" si="1"/>
        <v>197</v>
      </c>
      <c r="G47">
        <v>153</v>
      </c>
    </row>
    <row r="48" spans="1:7" ht="27.6">
      <c r="A48" s="35">
        <v>47</v>
      </c>
      <c r="B48" s="20" t="s">
        <v>168</v>
      </c>
      <c r="C48" s="20" t="s">
        <v>49</v>
      </c>
      <c r="D48" s="20" t="s">
        <v>429</v>
      </c>
      <c r="E48" s="20">
        <v>1</v>
      </c>
      <c r="F48" s="41">
        <f t="shared" si="1"/>
        <v>46</v>
      </c>
      <c r="G48">
        <v>28</v>
      </c>
    </row>
    <row r="49" spans="1:7" ht="55.2">
      <c r="A49" s="35">
        <v>48</v>
      </c>
      <c r="B49" s="20" t="s">
        <v>542</v>
      </c>
      <c r="C49" s="20" t="s">
        <v>49</v>
      </c>
      <c r="D49" s="20" t="s">
        <v>429</v>
      </c>
      <c r="E49" s="20">
        <v>1</v>
      </c>
      <c r="F49" s="41">
        <f t="shared" si="1"/>
        <v>76</v>
      </c>
      <c r="G49">
        <v>23</v>
      </c>
    </row>
    <row r="50" spans="1:7" ht="69">
      <c r="A50" s="35">
        <v>49</v>
      </c>
      <c r="B50" s="20" t="s">
        <v>170</v>
      </c>
      <c r="C50" s="20" t="s">
        <v>51</v>
      </c>
      <c r="D50" s="20" t="s">
        <v>429</v>
      </c>
      <c r="E50" s="20">
        <v>0</v>
      </c>
      <c r="F50" s="41">
        <f t="shared" si="1"/>
        <v>108</v>
      </c>
      <c r="G50">
        <v>169</v>
      </c>
    </row>
    <row r="51" spans="1:7" ht="124.2">
      <c r="A51" s="35">
        <v>50</v>
      </c>
      <c r="B51" s="20" t="s">
        <v>171</v>
      </c>
      <c r="C51" s="20" t="s">
        <v>49</v>
      </c>
      <c r="D51" s="20" t="s">
        <v>429</v>
      </c>
      <c r="E51" s="20">
        <v>1</v>
      </c>
      <c r="F51" s="41">
        <f t="shared" si="1"/>
        <v>224</v>
      </c>
      <c r="G51">
        <v>165</v>
      </c>
    </row>
    <row r="52" spans="1:7" s="31" customFormat="1" ht="151.80000000000001">
      <c r="A52" s="35">
        <v>51</v>
      </c>
      <c r="B52" s="27" t="s">
        <v>543</v>
      </c>
      <c r="C52" s="31" t="s">
        <v>63</v>
      </c>
      <c r="D52" s="31" t="s">
        <v>430</v>
      </c>
      <c r="E52" s="20">
        <v>0</v>
      </c>
      <c r="F52" s="41">
        <f t="shared" si="1"/>
        <v>129</v>
      </c>
      <c r="G52">
        <v>10</v>
      </c>
    </row>
    <row r="53" spans="1:7" s="31" customFormat="1" ht="138">
      <c r="A53" s="35">
        <v>52</v>
      </c>
      <c r="B53" s="27" t="s">
        <v>544</v>
      </c>
      <c r="C53" s="31" t="s">
        <v>59</v>
      </c>
      <c r="D53" s="31" t="s">
        <v>430</v>
      </c>
      <c r="E53" s="20">
        <v>0</v>
      </c>
      <c r="F53" s="41">
        <f t="shared" si="1"/>
        <v>140</v>
      </c>
      <c r="G53">
        <v>106</v>
      </c>
    </row>
    <row r="54" spans="1:7" s="31" customFormat="1" ht="193.2">
      <c r="A54" s="35">
        <v>53</v>
      </c>
      <c r="B54" s="27" t="s">
        <v>545</v>
      </c>
      <c r="C54" s="31" t="s">
        <v>61</v>
      </c>
      <c r="D54" s="31" t="s">
        <v>430</v>
      </c>
      <c r="E54" s="20">
        <v>0</v>
      </c>
      <c r="F54" s="41">
        <f t="shared" si="1"/>
        <v>201</v>
      </c>
      <c r="G54">
        <v>190</v>
      </c>
    </row>
    <row r="55" spans="1:7" s="31" customFormat="1" ht="69">
      <c r="A55" s="35">
        <v>54</v>
      </c>
      <c r="B55" s="27" t="s">
        <v>277</v>
      </c>
      <c r="C55" s="31" t="s">
        <v>63</v>
      </c>
      <c r="D55" s="31" t="s">
        <v>430</v>
      </c>
      <c r="E55" s="20">
        <v>0</v>
      </c>
      <c r="F55" s="41">
        <f t="shared" si="1"/>
        <v>115</v>
      </c>
      <c r="G55">
        <v>147</v>
      </c>
    </row>
    <row r="56" spans="1:7" s="31" customFormat="1" ht="165.6">
      <c r="A56" s="35">
        <v>55</v>
      </c>
      <c r="B56" s="27" t="s">
        <v>276</v>
      </c>
      <c r="C56" s="31" t="s">
        <v>55</v>
      </c>
      <c r="D56" s="31" t="s">
        <v>430</v>
      </c>
      <c r="E56" s="20">
        <v>0</v>
      </c>
      <c r="F56" s="41">
        <f t="shared" si="1"/>
        <v>165</v>
      </c>
      <c r="G56">
        <v>108</v>
      </c>
    </row>
    <row r="57" spans="1:7" s="31" customFormat="1" ht="82.8">
      <c r="A57" s="35">
        <v>56</v>
      </c>
      <c r="B57" s="27" t="s">
        <v>275</v>
      </c>
      <c r="C57" s="31" t="s">
        <v>59</v>
      </c>
      <c r="D57" s="31" t="s">
        <v>430</v>
      </c>
      <c r="E57" s="20">
        <v>0</v>
      </c>
      <c r="F57" s="41">
        <f t="shared" si="1"/>
        <v>62</v>
      </c>
      <c r="G57">
        <v>198</v>
      </c>
    </row>
    <row r="58" spans="1:7" s="31" customFormat="1" ht="220.8">
      <c r="A58" s="35">
        <v>57</v>
      </c>
      <c r="B58" s="27" t="s">
        <v>274</v>
      </c>
      <c r="C58" s="31" t="s">
        <v>59</v>
      </c>
      <c r="D58" s="31" t="s">
        <v>430</v>
      </c>
      <c r="E58" s="20">
        <v>0</v>
      </c>
      <c r="F58" s="41">
        <f t="shared" si="1"/>
        <v>183</v>
      </c>
      <c r="G58">
        <v>30</v>
      </c>
    </row>
    <row r="59" spans="1:7" s="31" customFormat="1" ht="41.4">
      <c r="A59" s="35">
        <v>58</v>
      </c>
      <c r="B59" s="27" t="s">
        <v>273</v>
      </c>
      <c r="C59" s="31" t="s">
        <v>53</v>
      </c>
      <c r="D59" s="31" t="s">
        <v>430</v>
      </c>
      <c r="E59" s="20">
        <v>0</v>
      </c>
      <c r="F59" s="41">
        <f t="shared" si="1"/>
        <v>66</v>
      </c>
      <c r="G59">
        <v>112</v>
      </c>
    </row>
    <row r="60" spans="1:7" s="31" customFormat="1" ht="179.4">
      <c r="A60" s="35">
        <v>59</v>
      </c>
      <c r="B60" s="27" t="s">
        <v>546</v>
      </c>
      <c r="C60" s="31" t="s">
        <v>59</v>
      </c>
      <c r="D60" s="31" t="s">
        <v>430</v>
      </c>
      <c r="E60" s="20">
        <v>0</v>
      </c>
      <c r="F60" s="41">
        <f t="shared" si="1"/>
        <v>212</v>
      </c>
      <c r="G60">
        <v>22</v>
      </c>
    </row>
    <row r="61" spans="1:7" s="31" customFormat="1" ht="179.4">
      <c r="A61" s="35">
        <v>60</v>
      </c>
      <c r="B61" s="27" t="s">
        <v>547</v>
      </c>
      <c r="C61" s="31" t="s">
        <v>59</v>
      </c>
      <c r="D61" s="31" t="s">
        <v>430</v>
      </c>
      <c r="E61" s="20">
        <v>0</v>
      </c>
      <c r="F61" s="41">
        <f t="shared" si="1"/>
        <v>293</v>
      </c>
      <c r="G61">
        <v>60</v>
      </c>
    </row>
    <row r="62" spans="1:7" s="31" customFormat="1" ht="41.4">
      <c r="A62" s="35">
        <v>61</v>
      </c>
      <c r="B62" s="27" t="s">
        <v>270</v>
      </c>
      <c r="C62" s="31" t="s">
        <v>58</v>
      </c>
      <c r="D62" s="31" t="s">
        <v>430</v>
      </c>
      <c r="E62" s="20">
        <v>0</v>
      </c>
      <c r="F62" s="41">
        <f t="shared" si="1"/>
        <v>62</v>
      </c>
      <c r="G62">
        <v>39</v>
      </c>
    </row>
    <row r="63" spans="1:7" s="31" customFormat="1" ht="110.4">
      <c r="A63" s="35">
        <v>62</v>
      </c>
      <c r="B63" s="27" t="s">
        <v>548</v>
      </c>
      <c r="C63" s="31" t="s">
        <v>62</v>
      </c>
      <c r="D63" s="31" t="s">
        <v>430</v>
      </c>
      <c r="E63" s="20">
        <v>0</v>
      </c>
      <c r="F63" s="41">
        <f t="shared" si="1"/>
        <v>92</v>
      </c>
      <c r="G63">
        <v>176</v>
      </c>
    </row>
    <row r="64" spans="1:7" s="31" customFormat="1" ht="124.2">
      <c r="A64" s="35">
        <v>63</v>
      </c>
      <c r="B64" s="27" t="s">
        <v>549</v>
      </c>
      <c r="C64" s="31" t="s">
        <v>61</v>
      </c>
      <c r="D64" s="31" t="s">
        <v>430</v>
      </c>
      <c r="E64" s="20">
        <v>0</v>
      </c>
      <c r="F64" s="41">
        <f t="shared" si="1"/>
        <v>182</v>
      </c>
      <c r="G64">
        <v>21</v>
      </c>
    </row>
    <row r="65" spans="1:7" s="31" customFormat="1" ht="165.6">
      <c r="A65" s="35">
        <v>64</v>
      </c>
      <c r="B65" s="27" t="s">
        <v>267</v>
      </c>
      <c r="C65" s="31" t="s">
        <v>58</v>
      </c>
      <c r="D65" s="31" t="s">
        <v>430</v>
      </c>
      <c r="E65" s="20">
        <v>0</v>
      </c>
      <c r="F65" s="41">
        <f t="shared" si="1"/>
        <v>235</v>
      </c>
      <c r="G65">
        <v>120</v>
      </c>
    </row>
    <row r="66" spans="1:7" s="31" customFormat="1" ht="96.6">
      <c r="A66" s="35">
        <v>65</v>
      </c>
      <c r="B66" s="27" t="s">
        <v>266</v>
      </c>
      <c r="C66" s="31" t="s">
        <v>58</v>
      </c>
      <c r="D66" s="31" t="s">
        <v>430</v>
      </c>
      <c r="E66" s="20">
        <v>0</v>
      </c>
      <c r="F66" s="41">
        <f t="shared" ref="F66:F97" si="2">LEN($B66)-LEN(SUBSTITUTE($B66," ",""))+1</f>
        <v>153</v>
      </c>
      <c r="G66">
        <v>149</v>
      </c>
    </row>
    <row r="67" spans="1:7" s="31" customFormat="1" ht="55.2">
      <c r="A67" s="35">
        <v>66</v>
      </c>
      <c r="B67" s="27" t="s">
        <v>265</v>
      </c>
      <c r="C67" s="31" t="s">
        <v>58</v>
      </c>
      <c r="D67" s="31" t="s">
        <v>430</v>
      </c>
      <c r="E67" s="20">
        <v>0</v>
      </c>
      <c r="F67" s="41">
        <f t="shared" si="2"/>
        <v>66</v>
      </c>
      <c r="G67">
        <v>16</v>
      </c>
    </row>
    <row r="68" spans="1:7" s="31" customFormat="1" ht="69">
      <c r="A68" s="35">
        <v>67</v>
      </c>
      <c r="B68" s="27" t="s">
        <v>550</v>
      </c>
      <c r="C68" s="31" t="s">
        <v>58</v>
      </c>
      <c r="D68" s="31" t="s">
        <v>430</v>
      </c>
      <c r="E68" s="20">
        <v>0</v>
      </c>
      <c r="F68" s="41">
        <f t="shared" si="2"/>
        <v>101</v>
      </c>
      <c r="G68">
        <v>172</v>
      </c>
    </row>
    <row r="69" spans="1:7" s="31" customFormat="1" ht="41.4">
      <c r="A69" s="35">
        <v>68</v>
      </c>
      <c r="B69" s="27" t="s">
        <v>551</v>
      </c>
      <c r="C69" s="31" t="s">
        <v>55</v>
      </c>
      <c r="D69" s="31" t="s">
        <v>430</v>
      </c>
      <c r="E69" s="20">
        <v>0</v>
      </c>
      <c r="F69" s="41">
        <f t="shared" si="2"/>
        <v>54</v>
      </c>
      <c r="G69">
        <v>110</v>
      </c>
    </row>
    <row r="70" spans="1:7" s="31" customFormat="1" ht="27.6">
      <c r="A70" s="35">
        <v>69</v>
      </c>
      <c r="B70" s="27" t="s">
        <v>262</v>
      </c>
      <c r="C70" s="31" t="s">
        <v>49</v>
      </c>
      <c r="D70" s="31" t="s">
        <v>430</v>
      </c>
      <c r="E70" s="20">
        <v>1</v>
      </c>
      <c r="F70" s="41">
        <f t="shared" si="2"/>
        <v>36</v>
      </c>
      <c r="G70">
        <v>123</v>
      </c>
    </row>
    <row r="71" spans="1:7" s="31" customFormat="1" ht="55.2">
      <c r="A71" s="35">
        <v>70</v>
      </c>
      <c r="B71" s="27" t="s">
        <v>261</v>
      </c>
      <c r="C71" s="31" t="s">
        <v>55</v>
      </c>
      <c r="D71" s="31" t="s">
        <v>430</v>
      </c>
      <c r="E71" s="20">
        <v>0</v>
      </c>
      <c r="F71" s="41">
        <f t="shared" si="2"/>
        <v>70</v>
      </c>
      <c r="G71">
        <v>151</v>
      </c>
    </row>
    <row r="72" spans="1:7" s="31" customFormat="1" ht="220.8">
      <c r="A72" s="35">
        <v>71</v>
      </c>
      <c r="B72" s="27" t="s">
        <v>260</v>
      </c>
      <c r="C72" s="31" t="s">
        <v>56</v>
      </c>
      <c r="D72" s="31" t="s">
        <v>430</v>
      </c>
      <c r="E72" s="20">
        <v>0</v>
      </c>
      <c r="F72" s="41">
        <f t="shared" si="2"/>
        <v>239</v>
      </c>
      <c r="G72">
        <v>113</v>
      </c>
    </row>
    <row r="73" spans="1:7" s="31" customFormat="1" ht="41.4">
      <c r="A73" s="35">
        <v>72</v>
      </c>
      <c r="B73" s="27" t="s">
        <v>552</v>
      </c>
      <c r="C73" s="31" t="s">
        <v>55</v>
      </c>
      <c r="D73" s="31" t="s">
        <v>430</v>
      </c>
      <c r="E73" s="20">
        <v>0</v>
      </c>
      <c r="F73" s="41">
        <f t="shared" si="2"/>
        <v>61</v>
      </c>
      <c r="G73">
        <v>74</v>
      </c>
    </row>
    <row r="74" spans="1:7" s="31" customFormat="1" ht="82.8">
      <c r="A74" s="35">
        <v>73</v>
      </c>
      <c r="B74" s="27" t="s">
        <v>258</v>
      </c>
      <c r="C74" s="31" t="s">
        <v>49</v>
      </c>
      <c r="D74" s="31" t="s">
        <v>430</v>
      </c>
      <c r="E74" s="20">
        <v>1</v>
      </c>
      <c r="F74" s="41">
        <f t="shared" si="2"/>
        <v>56</v>
      </c>
      <c r="G74">
        <v>38</v>
      </c>
    </row>
    <row r="75" spans="1:7" s="31" customFormat="1" ht="82.8">
      <c r="A75" s="35">
        <v>74</v>
      </c>
      <c r="B75" s="27" t="s">
        <v>257</v>
      </c>
      <c r="C75" s="31" t="s">
        <v>62</v>
      </c>
      <c r="D75" s="31" t="s">
        <v>430</v>
      </c>
      <c r="E75" s="20">
        <v>0</v>
      </c>
      <c r="F75" s="41">
        <f t="shared" si="2"/>
        <v>66</v>
      </c>
      <c r="G75">
        <v>5</v>
      </c>
    </row>
    <row r="76" spans="1:7" s="31" customFormat="1" ht="124.2">
      <c r="A76" s="35">
        <v>75</v>
      </c>
      <c r="B76" s="27" t="s">
        <v>256</v>
      </c>
      <c r="C76" s="31" t="s">
        <v>56</v>
      </c>
      <c r="D76" s="31" t="s">
        <v>430</v>
      </c>
      <c r="E76" s="20">
        <v>0</v>
      </c>
      <c r="F76" s="41">
        <f t="shared" si="2"/>
        <v>140</v>
      </c>
      <c r="G76">
        <v>100</v>
      </c>
    </row>
    <row r="77" spans="1:7" s="31" customFormat="1" ht="41.4">
      <c r="A77" s="35">
        <v>76</v>
      </c>
      <c r="B77" s="27" t="s">
        <v>255</v>
      </c>
      <c r="C77" s="31" t="s">
        <v>56</v>
      </c>
      <c r="D77" s="31" t="s">
        <v>430</v>
      </c>
      <c r="E77" s="20">
        <v>0</v>
      </c>
      <c r="F77" s="41">
        <f t="shared" si="2"/>
        <v>60</v>
      </c>
      <c r="G77">
        <v>119</v>
      </c>
    </row>
    <row r="78" spans="1:7" s="31" customFormat="1" ht="55.2">
      <c r="A78" s="35">
        <v>77</v>
      </c>
      <c r="B78" s="27" t="s">
        <v>254</v>
      </c>
      <c r="C78" s="31" t="s">
        <v>62</v>
      </c>
      <c r="D78" s="31" t="s">
        <v>430</v>
      </c>
      <c r="E78" s="20">
        <v>0</v>
      </c>
      <c r="F78" s="41">
        <f t="shared" si="2"/>
        <v>28</v>
      </c>
      <c r="G78">
        <v>51</v>
      </c>
    </row>
    <row r="79" spans="1:7" s="31" customFormat="1" ht="179.4">
      <c r="A79" s="35">
        <v>78</v>
      </c>
      <c r="B79" s="27" t="s">
        <v>553</v>
      </c>
      <c r="C79" s="31" t="s">
        <v>131</v>
      </c>
      <c r="D79" s="31" t="s">
        <v>430</v>
      </c>
      <c r="E79" s="31">
        <v>7</v>
      </c>
      <c r="F79" s="41">
        <f t="shared" si="2"/>
        <v>100</v>
      </c>
      <c r="G79">
        <v>168</v>
      </c>
    </row>
    <row r="80" spans="1:7" s="31" customFormat="1" ht="138">
      <c r="A80" s="35">
        <v>79</v>
      </c>
      <c r="B80" s="27" t="s">
        <v>252</v>
      </c>
      <c r="C80" s="31" t="s">
        <v>56</v>
      </c>
      <c r="D80" s="31" t="s">
        <v>430</v>
      </c>
      <c r="E80" s="20">
        <v>0</v>
      </c>
      <c r="F80" s="41">
        <f t="shared" si="2"/>
        <v>84</v>
      </c>
      <c r="G80">
        <v>94</v>
      </c>
    </row>
    <row r="81" spans="1:7" s="31" customFormat="1" ht="124.2">
      <c r="A81" s="35">
        <v>80</v>
      </c>
      <c r="B81" s="27" t="s">
        <v>554</v>
      </c>
      <c r="C81" s="31" t="s">
        <v>49</v>
      </c>
      <c r="D81" s="31" t="s">
        <v>430</v>
      </c>
      <c r="E81" s="20">
        <v>1</v>
      </c>
      <c r="F81" s="41">
        <f t="shared" si="2"/>
        <v>163</v>
      </c>
      <c r="G81">
        <v>160</v>
      </c>
    </row>
    <row r="82" spans="1:7" s="31" customFormat="1" ht="41.4">
      <c r="A82" s="35">
        <v>81</v>
      </c>
      <c r="B82" s="27" t="s">
        <v>555</v>
      </c>
      <c r="C82" s="31" t="s">
        <v>63</v>
      </c>
      <c r="D82" s="31" t="s">
        <v>430</v>
      </c>
      <c r="E82" s="20">
        <v>0</v>
      </c>
      <c r="F82" s="41">
        <f t="shared" si="2"/>
        <v>53</v>
      </c>
      <c r="G82">
        <v>7</v>
      </c>
    </row>
    <row r="83" spans="1:7" s="31" customFormat="1" ht="55.2">
      <c r="A83" s="35">
        <v>82</v>
      </c>
      <c r="B83" s="27" t="s">
        <v>556</v>
      </c>
      <c r="C83" s="31" t="s">
        <v>60</v>
      </c>
      <c r="D83" s="31" t="s">
        <v>430</v>
      </c>
      <c r="E83" s="20">
        <v>2</v>
      </c>
      <c r="F83" s="41">
        <f t="shared" si="2"/>
        <v>100</v>
      </c>
      <c r="G83">
        <v>116</v>
      </c>
    </row>
    <row r="84" spans="1:7" s="31" customFormat="1" ht="55.2">
      <c r="A84" s="35">
        <v>83</v>
      </c>
      <c r="B84" s="27" t="s">
        <v>557</v>
      </c>
      <c r="C84" s="31" t="s">
        <v>52</v>
      </c>
      <c r="D84" s="31" t="s">
        <v>430</v>
      </c>
      <c r="E84" s="20">
        <v>0</v>
      </c>
      <c r="F84" s="41">
        <f t="shared" si="2"/>
        <v>99</v>
      </c>
      <c r="G84">
        <v>158</v>
      </c>
    </row>
    <row r="85" spans="1:7" s="31" customFormat="1" ht="165.6">
      <c r="A85" s="35">
        <v>84</v>
      </c>
      <c r="B85" s="27" t="s">
        <v>558</v>
      </c>
      <c r="C85" s="31" t="s">
        <v>56</v>
      </c>
      <c r="D85" s="31" t="s">
        <v>430</v>
      </c>
      <c r="E85" s="20">
        <v>0</v>
      </c>
      <c r="F85" s="41">
        <f t="shared" si="2"/>
        <v>167</v>
      </c>
      <c r="G85">
        <v>187</v>
      </c>
    </row>
    <row r="86" spans="1:7" s="31" customFormat="1" ht="138">
      <c r="A86" s="35">
        <v>85</v>
      </c>
      <c r="B86" s="27" t="s">
        <v>246</v>
      </c>
      <c r="C86" s="31" t="s">
        <v>51</v>
      </c>
      <c r="D86" s="31" t="s">
        <v>430</v>
      </c>
      <c r="E86" s="20">
        <v>0</v>
      </c>
      <c r="F86" s="41">
        <f t="shared" si="2"/>
        <v>93</v>
      </c>
      <c r="G86">
        <v>178</v>
      </c>
    </row>
    <row r="87" spans="1:7" s="31" customFormat="1" ht="55.2">
      <c r="A87" s="35">
        <v>86</v>
      </c>
      <c r="B87" s="27" t="s">
        <v>245</v>
      </c>
      <c r="C87" s="31" t="s">
        <v>60</v>
      </c>
      <c r="D87" s="31" t="s">
        <v>430</v>
      </c>
      <c r="E87" s="20">
        <v>2</v>
      </c>
      <c r="F87" s="41">
        <f t="shared" si="2"/>
        <v>91</v>
      </c>
      <c r="G87">
        <v>46</v>
      </c>
    </row>
    <row r="88" spans="1:7" s="31" customFormat="1" ht="27.6">
      <c r="A88" s="35">
        <v>87</v>
      </c>
      <c r="B88" s="27" t="s">
        <v>244</v>
      </c>
      <c r="C88" s="31" t="s">
        <v>58</v>
      </c>
      <c r="D88" s="31" t="s">
        <v>430</v>
      </c>
      <c r="E88" s="20">
        <v>0</v>
      </c>
      <c r="F88" s="41">
        <f t="shared" si="2"/>
        <v>27</v>
      </c>
      <c r="G88">
        <v>180</v>
      </c>
    </row>
    <row r="89" spans="1:7" s="31" customFormat="1" ht="82.8">
      <c r="A89" s="35">
        <v>88</v>
      </c>
      <c r="B89" s="27" t="s">
        <v>243</v>
      </c>
      <c r="C89" s="31" t="s">
        <v>51</v>
      </c>
      <c r="D89" s="31" t="s">
        <v>430</v>
      </c>
      <c r="E89" s="20">
        <v>0</v>
      </c>
      <c r="F89" s="41">
        <f t="shared" si="2"/>
        <v>151</v>
      </c>
      <c r="G89">
        <v>107</v>
      </c>
    </row>
    <row r="90" spans="1:7" s="31" customFormat="1" ht="69">
      <c r="A90" s="35">
        <v>89</v>
      </c>
      <c r="B90" s="27" t="s">
        <v>242</v>
      </c>
      <c r="C90" s="31" t="s">
        <v>155</v>
      </c>
      <c r="D90" s="31" t="s">
        <v>430</v>
      </c>
      <c r="E90" s="31">
        <v>8</v>
      </c>
      <c r="F90" s="41">
        <f t="shared" si="2"/>
        <v>88</v>
      </c>
      <c r="G90">
        <v>24</v>
      </c>
    </row>
    <row r="91" spans="1:7" s="31" customFormat="1" ht="41.4">
      <c r="A91" s="35">
        <v>90</v>
      </c>
      <c r="B91" s="27" t="s">
        <v>241</v>
      </c>
      <c r="C91" s="31" t="s">
        <v>54</v>
      </c>
      <c r="D91" s="31" t="s">
        <v>430</v>
      </c>
      <c r="E91" s="20">
        <v>3</v>
      </c>
      <c r="F91" s="41">
        <f t="shared" si="2"/>
        <v>60</v>
      </c>
      <c r="G91">
        <v>53</v>
      </c>
    </row>
    <row r="92" spans="1:7" s="31" customFormat="1" ht="41.4">
      <c r="A92" s="35">
        <v>91</v>
      </c>
      <c r="B92" s="27" t="s">
        <v>559</v>
      </c>
      <c r="C92" s="31" t="s">
        <v>52</v>
      </c>
      <c r="D92" s="31" t="s">
        <v>430</v>
      </c>
      <c r="E92" s="20">
        <v>0</v>
      </c>
      <c r="F92" s="41">
        <f t="shared" si="2"/>
        <v>69</v>
      </c>
      <c r="G92">
        <v>174</v>
      </c>
    </row>
    <row r="93" spans="1:7" s="31" customFormat="1" ht="82.8">
      <c r="A93" s="35">
        <v>92</v>
      </c>
      <c r="B93" s="27" t="s">
        <v>239</v>
      </c>
      <c r="C93" s="31" t="s">
        <v>49</v>
      </c>
      <c r="D93" s="31" t="s">
        <v>430</v>
      </c>
      <c r="E93" s="20">
        <v>1</v>
      </c>
      <c r="F93" s="41">
        <f t="shared" si="2"/>
        <v>93</v>
      </c>
      <c r="G93">
        <v>102</v>
      </c>
    </row>
    <row r="94" spans="1:7" s="31" customFormat="1" ht="27.6">
      <c r="A94" s="35">
        <v>93</v>
      </c>
      <c r="B94" s="27" t="s">
        <v>238</v>
      </c>
      <c r="C94" s="31" t="s">
        <v>56</v>
      </c>
      <c r="D94" s="31" t="s">
        <v>430</v>
      </c>
      <c r="E94" s="20">
        <v>0</v>
      </c>
      <c r="F94" s="41">
        <f t="shared" si="2"/>
        <v>26</v>
      </c>
      <c r="G94">
        <v>97</v>
      </c>
    </row>
    <row r="95" spans="1:7" s="31" customFormat="1" ht="165.6">
      <c r="A95" s="35">
        <v>94</v>
      </c>
      <c r="B95" s="27" t="s">
        <v>560</v>
      </c>
      <c r="C95" s="31" t="s">
        <v>50</v>
      </c>
      <c r="D95" s="31" t="s">
        <v>430</v>
      </c>
      <c r="E95" s="20">
        <v>0</v>
      </c>
      <c r="F95" s="41">
        <f t="shared" si="2"/>
        <v>180</v>
      </c>
      <c r="G95">
        <v>101</v>
      </c>
    </row>
    <row r="96" spans="1:7" s="31" customFormat="1" ht="55.2">
      <c r="A96" s="35">
        <v>95</v>
      </c>
      <c r="B96" s="27" t="s">
        <v>236</v>
      </c>
      <c r="C96" s="31" t="s">
        <v>131</v>
      </c>
      <c r="D96" s="31" t="s">
        <v>430</v>
      </c>
      <c r="E96" s="31">
        <v>7</v>
      </c>
      <c r="F96" s="41">
        <f t="shared" si="2"/>
        <v>89</v>
      </c>
      <c r="G96">
        <v>194</v>
      </c>
    </row>
    <row r="97" spans="1:7" s="31" customFormat="1" ht="220.8">
      <c r="A97" s="35">
        <v>96</v>
      </c>
      <c r="B97" s="27" t="s">
        <v>235</v>
      </c>
      <c r="C97" s="31" t="s">
        <v>51</v>
      </c>
      <c r="D97" s="31" t="s">
        <v>430</v>
      </c>
      <c r="E97" s="20">
        <v>0</v>
      </c>
      <c r="F97" s="41">
        <f t="shared" si="2"/>
        <v>220</v>
      </c>
      <c r="G97">
        <v>47</v>
      </c>
    </row>
    <row r="98" spans="1:7" s="31" customFormat="1" ht="193.2">
      <c r="A98" s="35">
        <v>97</v>
      </c>
      <c r="B98" s="27" t="s">
        <v>561</v>
      </c>
      <c r="C98" s="31" t="s">
        <v>49</v>
      </c>
      <c r="D98" s="31" t="s">
        <v>430</v>
      </c>
      <c r="E98" s="20">
        <v>1</v>
      </c>
      <c r="F98" s="41">
        <f t="shared" ref="F98:F129" si="3">LEN($B98)-LEN(SUBSTITUTE($B98," ",""))+1</f>
        <v>159</v>
      </c>
      <c r="G98">
        <v>78</v>
      </c>
    </row>
    <row r="99" spans="1:7" s="31" customFormat="1" ht="82.8">
      <c r="A99" s="35">
        <v>98</v>
      </c>
      <c r="B99" s="27" t="s">
        <v>233</v>
      </c>
      <c r="C99" s="31" t="s">
        <v>49</v>
      </c>
      <c r="D99" s="31" t="s">
        <v>430</v>
      </c>
      <c r="E99" s="20">
        <v>1</v>
      </c>
      <c r="F99" s="41">
        <f t="shared" si="3"/>
        <v>100</v>
      </c>
      <c r="G99">
        <v>12</v>
      </c>
    </row>
    <row r="100" spans="1:7" s="31" customFormat="1" ht="110.4">
      <c r="A100" s="35">
        <v>99</v>
      </c>
      <c r="B100" s="27" t="s">
        <v>232</v>
      </c>
      <c r="C100" s="31" t="s">
        <v>49</v>
      </c>
      <c r="D100" s="31" t="s">
        <v>430</v>
      </c>
      <c r="E100" s="20">
        <v>1</v>
      </c>
      <c r="F100" s="41">
        <f t="shared" si="3"/>
        <v>92</v>
      </c>
      <c r="G100">
        <v>14</v>
      </c>
    </row>
    <row r="101" spans="1:7" s="31" customFormat="1" ht="69">
      <c r="A101" s="35">
        <v>100</v>
      </c>
      <c r="B101" s="27" t="s">
        <v>562</v>
      </c>
      <c r="C101" s="31" t="s">
        <v>49</v>
      </c>
      <c r="D101" s="31" t="s">
        <v>430</v>
      </c>
      <c r="E101" s="20">
        <v>1</v>
      </c>
      <c r="F101" s="41">
        <f t="shared" si="3"/>
        <v>107</v>
      </c>
      <c r="G101" s="31">
        <v>88</v>
      </c>
    </row>
    <row r="102" spans="1:7" s="27" customFormat="1" ht="69">
      <c r="A102" s="35">
        <v>101</v>
      </c>
      <c r="B102" s="29" t="s">
        <v>563</v>
      </c>
      <c r="C102" s="29" t="s">
        <v>330</v>
      </c>
      <c r="D102" s="27" t="s">
        <v>431</v>
      </c>
      <c r="E102" s="20">
        <v>0</v>
      </c>
      <c r="F102" s="41">
        <f t="shared" si="3"/>
        <v>113</v>
      </c>
    </row>
    <row r="103" spans="1:7" s="27" customFormat="1" ht="27.6">
      <c r="A103" s="35">
        <v>102</v>
      </c>
      <c r="B103" s="29" t="s">
        <v>564</v>
      </c>
      <c r="C103" s="29" t="s">
        <v>58</v>
      </c>
      <c r="D103" s="27" t="s">
        <v>431</v>
      </c>
      <c r="E103" s="20">
        <v>0</v>
      </c>
      <c r="F103" s="41">
        <f t="shared" si="3"/>
        <v>47</v>
      </c>
    </row>
    <row r="104" spans="1:7" s="27" customFormat="1" ht="151.80000000000001">
      <c r="A104" s="35">
        <v>103</v>
      </c>
      <c r="B104" s="29" t="s">
        <v>565</v>
      </c>
      <c r="C104" s="29" t="s">
        <v>63</v>
      </c>
      <c r="D104" s="27" t="s">
        <v>431</v>
      </c>
      <c r="E104" s="20">
        <v>0</v>
      </c>
      <c r="F104" s="41">
        <f t="shared" si="3"/>
        <v>272</v>
      </c>
    </row>
    <row r="105" spans="1:7" s="27" customFormat="1" ht="82.8">
      <c r="A105" s="35">
        <v>104</v>
      </c>
      <c r="B105" s="29" t="s">
        <v>566</v>
      </c>
      <c r="C105" s="29" t="s">
        <v>59</v>
      </c>
      <c r="D105" s="27" t="s">
        <v>431</v>
      </c>
      <c r="E105" s="20">
        <v>0</v>
      </c>
      <c r="F105" s="41">
        <f t="shared" si="3"/>
        <v>138</v>
      </c>
    </row>
    <row r="106" spans="1:7" s="27" customFormat="1" ht="82.8">
      <c r="A106" s="35">
        <v>105</v>
      </c>
      <c r="B106" s="29" t="s">
        <v>326</v>
      </c>
      <c r="C106" s="29" t="s">
        <v>49</v>
      </c>
      <c r="D106" s="27" t="s">
        <v>431</v>
      </c>
      <c r="E106" s="20">
        <v>1</v>
      </c>
      <c r="F106" s="41">
        <f t="shared" si="3"/>
        <v>69</v>
      </c>
    </row>
    <row r="107" spans="1:7" s="27" customFormat="1" ht="82.8">
      <c r="A107" s="35">
        <v>106</v>
      </c>
      <c r="B107" s="29" t="s">
        <v>325</v>
      </c>
      <c r="C107" s="29" t="s">
        <v>65</v>
      </c>
      <c r="D107" s="27" t="s">
        <v>431</v>
      </c>
      <c r="E107" s="27">
        <v>0</v>
      </c>
      <c r="F107" s="41">
        <f t="shared" si="3"/>
        <v>124</v>
      </c>
    </row>
    <row r="108" spans="1:7" s="27" customFormat="1" ht="82.8">
      <c r="A108" s="35">
        <v>107</v>
      </c>
      <c r="B108" s="29" t="s">
        <v>567</v>
      </c>
      <c r="C108" s="29" t="s">
        <v>63</v>
      </c>
      <c r="D108" s="27" t="s">
        <v>431</v>
      </c>
      <c r="E108" s="20">
        <v>0</v>
      </c>
      <c r="F108" s="41">
        <f t="shared" si="3"/>
        <v>111</v>
      </c>
    </row>
    <row r="109" spans="1:7" s="27" customFormat="1" ht="55.2">
      <c r="A109" s="35">
        <v>108</v>
      </c>
      <c r="B109" s="29" t="s">
        <v>323</v>
      </c>
      <c r="C109" s="29" t="s">
        <v>62</v>
      </c>
      <c r="D109" s="27" t="s">
        <v>431</v>
      </c>
      <c r="E109" s="20">
        <v>0</v>
      </c>
      <c r="F109" s="41">
        <f t="shared" si="3"/>
        <v>99</v>
      </c>
    </row>
    <row r="110" spans="1:7" s="27" customFormat="1" ht="69">
      <c r="A110" s="35">
        <v>109</v>
      </c>
      <c r="B110" s="29" t="s">
        <v>322</v>
      </c>
      <c r="C110" s="29" t="s">
        <v>55</v>
      </c>
      <c r="D110" s="27" t="s">
        <v>431</v>
      </c>
      <c r="E110" s="20">
        <v>0</v>
      </c>
      <c r="F110" s="41">
        <f t="shared" si="3"/>
        <v>119</v>
      </c>
    </row>
    <row r="111" spans="1:7" s="27" customFormat="1" ht="55.2">
      <c r="A111" s="35">
        <v>110</v>
      </c>
      <c r="B111" s="29" t="s">
        <v>321</v>
      </c>
      <c r="C111" s="29" t="s">
        <v>59</v>
      </c>
      <c r="D111" s="27" t="s">
        <v>431</v>
      </c>
      <c r="E111" s="20">
        <v>0</v>
      </c>
      <c r="F111" s="41">
        <f t="shared" si="3"/>
        <v>98</v>
      </c>
    </row>
    <row r="112" spans="1:7" s="27" customFormat="1" ht="82.8">
      <c r="A112" s="35">
        <v>111</v>
      </c>
      <c r="B112" s="29" t="s">
        <v>320</v>
      </c>
      <c r="C112" s="29" t="s">
        <v>59</v>
      </c>
      <c r="D112" s="27" t="s">
        <v>431</v>
      </c>
      <c r="E112" s="20">
        <v>0</v>
      </c>
      <c r="F112" s="41">
        <f t="shared" si="3"/>
        <v>115</v>
      </c>
    </row>
    <row r="113" spans="1:6" s="27" customFormat="1" ht="41.4">
      <c r="A113" s="35">
        <v>112</v>
      </c>
      <c r="B113" s="29" t="s">
        <v>568</v>
      </c>
      <c r="C113" s="29" t="s">
        <v>59</v>
      </c>
      <c r="D113" s="27" t="s">
        <v>431</v>
      </c>
      <c r="E113" s="20">
        <v>0</v>
      </c>
      <c r="F113" s="41">
        <f t="shared" si="3"/>
        <v>62</v>
      </c>
    </row>
    <row r="114" spans="1:6" s="27" customFormat="1" ht="165.6">
      <c r="A114" s="35">
        <v>113</v>
      </c>
      <c r="B114" s="29" t="s">
        <v>569</v>
      </c>
      <c r="C114" s="29" t="s">
        <v>61</v>
      </c>
      <c r="D114" s="27" t="s">
        <v>431</v>
      </c>
      <c r="E114" s="20">
        <v>0</v>
      </c>
      <c r="F114" s="41">
        <f t="shared" si="3"/>
        <v>240</v>
      </c>
    </row>
    <row r="115" spans="1:6" s="27" customFormat="1" ht="41.4">
      <c r="A115" s="35">
        <v>114</v>
      </c>
      <c r="B115" s="29" t="s">
        <v>317</v>
      </c>
      <c r="C115" s="29" t="s">
        <v>58</v>
      </c>
      <c r="D115" s="27" t="s">
        <v>431</v>
      </c>
      <c r="E115" s="20">
        <v>0</v>
      </c>
      <c r="F115" s="41">
        <f t="shared" si="3"/>
        <v>72</v>
      </c>
    </row>
    <row r="116" spans="1:6" s="27" customFormat="1" ht="41.4">
      <c r="A116" s="35">
        <v>115</v>
      </c>
      <c r="B116" s="29" t="s">
        <v>316</v>
      </c>
      <c r="C116" s="29" t="s">
        <v>58</v>
      </c>
      <c r="D116" s="27" t="s">
        <v>431</v>
      </c>
      <c r="E116" s="20">
        <v>0</v>
      </c>
      <c r="F116" s="41">
        <f t="shared" si="3"/>
        <v>60</v>
      </c>
    </row>
    <row r="117" spans="1:6" s="27" customFormat="1" ht="193.2">
      <c r="A117" s="35">
        <v>116</v>
      </c>
      <c r="B117" s="29" t="s">
        <v>570</v>
      </c>
      <c r="C117" s="29" t="s">
        <v>61</v>
      </c>
      <c r="D117" s="27" t="s">
        <v>431</v>
      </c>
      <c r="E117" s="20">
        <v>0</v>
      </c>
      <c r="F117" s="41">
        <f t="shared" si="3"/>
        <v>322</v>
      </c>
    </row>
    <row r="118" spans="1:6" s="27" customFormat="1" ht="55.2">
      <c r="A118" s="35">
        <v>117</v>
      </c>
      <c r="B118" s="29" t="s">
        <v>314</v>
      </c>
      <c r="C118" s="29" t="s">
        <v>61</v>
      </c>
      <c r="D118" s="27" t="s">
        <v>431</v>
      </c>
      <c r="E118" s="20">
        <v>0</v>
      </c>
      <c r="F118" s="41">
        <f t="shared" si="3"/>
        <v>85</v>
      </c>
    </row>
    <row r="119" spans="1:6" s="27" customFormat="1" ht="41.4">
      <c r="A119" s="35">
        <v>118</v>
      </c>
      <c r="B119" s="29" t="s">
        <v>313</v>
      </c>
      <c r="C119" s="29" t="s">
        <v>55</v>
      </c>
      <c r="D119" s="27" t="s">
        <v>431</v>
      </c>
      <c r="E119" s="20">
        <v>0</v>
      </c>
      <c r="F119" s="41">
        <f t="shared" si="3"/>
        <v>56</v>
      </c>
    </row>
    <row r="120" spans="1:6" s="27" customFormat="1" ht="27.6">
      <c r="A120" s="35">
        <v>119</v>
      </c>
      <c r="B120" s="29" t="s">
        <v>312</v>
      </c>
      <c r="C120" s="29" t="s">
        <v>49</v>
      </c>
      <c r="D120" s="27" t="s">
        <v>431</v>
      </c>
      <c r="E120" s="20">
        <v>1</v>
      </c>
      <c r="F120" s="41">
        <f t="shared" si="3"/>
        <v>50</v>
      </c>
    </row>
    <row r="121" spans="1:6" s="27" customFormat="1" ht="41.4">
      <c r="A121" s="35">
        <v>120</v>
      </c>
      <c r="B121" s="29" t="s">
        <v>571</v>
      </c>
      <c r="C121" s="29" t="s">
        <v>61</v>
      </c>
      <c r="D121" s="27" t="s">
        <v>431</v>
      </c>
      <c r="E121" s="20">
        <v>0</v>
      </c>
      <c r="F121" s="41">
        <f t="shared" si="3"/>
        <v>63</v>
      </c>
    </row>
    <row r="122" spans="1:6" s="27" customFormat="1" ht="69">
      <c r="A122" s="35">
        <v>121</v>
      </c>
      <c r="B122" s="29" t="s">
        <v>310</v>
      </c>
      <c r="C122" s="29" t="s">
        <v>60</v>
      </c>
      <c r="D122" s="27" t="s">
        <v>431</v>
      </c>
      <c r="E122" s="20">
        <v>2</v>
      </c>
      <c r="F122" s="41">
        <f t="shared" si="3"/>
        <v>104</v>
      </c>
    </row>
    <row r="123" spans="1:6" s="27" customFormat="1" ht="138">
      <c r="A123" s="35">
        <v>122</v>
      </c>
      <c r="B123" s="29" t="s">
        <v>572</v>
      </c>
      <c r="C123" s="29" t="s">
        <v>54</v>
      </c>
      <c r="D123" s="27" t="s">
        <v>431</v>
      </c>
      <c r="E123" s="20">
        <v>3</v>
      </c>
      <c r="F123" s="41">
        <f t="shared" si="3"/>
        <v>268</v>
      </c>
    </row>
    <row r="124" spans="1:6" s="27" customFormat="1" ht="69">
      <c r="A124" s="35">
        <v>123</v>
      </c>
      <c r="B124" s="29" t="s">
        <v>308</v>
      </c>
      <c r="C124" s="29" t="s">
        <v>49</v>
      </c>
      <c r="D124" s="27" t="s">
        <v>431</v>
      </c>
      <c r="E124" s="20">
        <v>1</v>
      </c>
      <c r="F124" s="41">
        <f t="shared" si="3"/>
        <v>114</v>
      </c>
    </row>
    <row r="125" spans="1:6" s="27" customFormat="1" ht="69">
      <c r="A125" s="35">
        <v>124</v>
      </c>
      <c r="B125" s="29" t="s">
        <v>573</v>
      </c>
      <c r="C125" s="29" t="s">
        <v>49</v>
      </c>
      <c r="D125" s="27" t="s">
        <v>431</v>
      </c>
      <c r="E125" s="20">
        <v>1</v>
      </c>
      <c r="F125" s="41">
        <f t="shared" si="3"/>
        <v>106</v>
      </c>
    </row>
    <row r="126" spans="1:6" s="27" customFormat="1" ht="27.6">
      <c r="A126" s="35">
        <v>125</v>
      </c>
      <c r="B126" s="29" t="s">
        <v>306</v>
      </c>
      <c r="C126" s="29" t="s">
        <v>60</v>
      </c>
      <c r="D126" s="27" t="s">
        <v>431</v>
      </c>
      <c r="E126" s="20">
        <v>2</v>
      </c>
      <c r="F126" s="41">
        <f t="shared" si="3"/>
        <v>49</v>
      </c>
    </row>
    <row r="127" spans="1:6" s="27" customFormat="1" ht="27.6">
      <c r="A127" s="35">
        <v>126</v>
      </c>
      <c r="B127" s="29" t="s">
        <v>305</v>
      </c>
      <c r="C127" s="29" t="s">
        <v>59</v>
      </c>
      <c r="D127" s="27" t="s">
        <v>431</v>
      </c>
      <c r="E127" s="20">
        <v>0</v>
      </c>
      <c r="F127" s="41">
        <f t="shared" si="3"/>
        <v>28</v>
      </c>
    </row>
    <row r="128" spans="1:6" s="27" customFormat="1" ht="96.6">
      <c r="A128" s="35">
        <v>127</v>
      </c>
      <c r="B128" s="29" t="s">
        <v>574</v>
      </c>
      <c r="C128" s="29" t="s">
        <v>60</v>
      </c>
      <c r="D128" s="27" t="s">
        <v>431</v>
      </c>
      <c r="E128" s="20">
        <v>2</v>
      </c>
      <c r="F128" s="41">
        <f t="shared" si="3"/>
        <v>155</v>
      </c>
    </row>
    <row r="129" spans="1:6" s="27" customFormat="1" ht="82.8">
      <c r="A129" s="35">
        <v>128</v>
      </c>
      <c r="B129" s="29" t="s">
        <v>575</v>
      </c>
      <c r="C129" s="29" t="s">
        <v>56</v>
      </c>
      <c r="D129" s="27" t="s">
        <v>431</v>
      </c>
      <c r="E129" s="20">
        <v>0</v>
      </c>
      <c r="F129" s="41">
        <f t="shared" si="3"/>
        <v>145</v>
      </c>
    </row>
    <row r="130" spans="1:6" s="27" customFormat="1" ht="41.4">
      <c r="A130" s="35">
        <v>129</v>
      </c>
      <c r="B130" s="29" t="s">
        <v>302</v>
      </c>
      <c r="C130" s="29" t="s">
        <v>56</v>
      </c>
      <c r="D130" s="27" t="s">
        <v>431</v>
      </c>
      <c r="E130" s="20">
        <v>0</v>
      </c>
      <c r="F130" s="41">
        <f t="shared" ref="F130:F161" si="4">LEN($B130)-LEN(SUBSTITUTE($B130," ",""))+1</f>
        <v>70</v>
      </c>
    </row>
    <row r="131" spans="1:6" s="27" customFormat="1" ht="41.4">
      <c r="A131" s="35">
        <v>130</v>
      </c>
      <c r="B131" s="29" t="s">
        <v>576</v>
      </c>
      <c r="C131" s="29" t="s">
        <v>53</v>
      </c>
      <c r="D131" s="27" t="s">
        <v>431</v>
      </c>
      <c r="E131" s="20">
        <v>0</v>
      </c>
      <c r="F131" s="41">
        <f t="shared" si="4"/>
        <v>66</v>
      </c>
    </row>
    <row r="132" spans="1:6" s="27" customFormat="1" ht="41.4">
      <c r="A132" s="35">
        <v>131</v>
      </c>
      <c r="B132" s="29" t="s">
        <v>300</v>
      </c>
      <c r="C132" s="29" t="s">
        <v>60</v>
      </c>
      <c r="D132" s="27" t="s">
        <v>431</v>
      </c>
      <c r="E132" s="20">
        <v>2</v>
      </c>
      <c r="F132" s="41">
        <f t="shared" si="4"/>
        <v>62</v>
      </c>
    </row>
    <row r="133" spans="1:6" s="27" customFormat="1" ht="27.6">
      <c r="A133" s="35">
        <v>132</v>
      </c>
      <c r="B133" s="29" t="s">
        <v>299</v>
      </c>
      <c r="C133" s="29" t="s">
        <v>60</v>
      </c>
      <c r="D133" s="27" t="s">
        <v>431</v>
      </c>
      <c r="E133" s="20">
        <v>2</v>
      </c>
      <c r="F133" s="41">
        <f t="shared" si="4"/>
        <v>36</v>
      </c>
    </row>
    <row r="134" spans="1:6" s="27" customFormat="1" ht="27.6">
      <c r="A134" s="35">
        <v>133</v>
      </c>
      <c r="B134" s="29" t="s">
        <v>298</v>
      </c>
      <c r="C134" s="29" t="s">
        <v>55</v>
      </c>
      <c r="D134" s="27" t="s">
        <v>431</v>
      </c>
      <c r="E134" s="20">
        <v>0</v>
      </c>
      <c r="F134" s="41">
        <f t="shared" si="4"/>
        <v>42</v>
      </c>
    </row>
    <row r="135" spans="1:6" s="27" customFormat="1" ht="13.8">
      <c r="A135" s="35">
        <v>134</v>
      </c>
      <c r="B135" s="29" t="s">
        <v>297</v>
      </c>
      <c r="C135" s="29" t="s">
        <v>56</v>
      </c>
      <c r="D135" s="27" t="s">
        <v>431</v>
      </c>
      <c r="E135" s="20">
        <v>0</v>
      </c>
      <c r="F135" s="41">
        <f t="shared" si="4"/>
        <v>22</v>
      </c>
    </row>
    <row r="136" spans="1:6" s="27" customFormat="1" ht="82.8">
      <c r="A136" s="35">
        <v>135</v>
      </c>
      <c r="B136" s="29" t="s">
        <v>577</v>
      </c>
      <c r="C136" s="29" t="s">
        <v>49</v>
      </c>
      <c r="D136" s="27" t="s">
        <v>431</v>
      </c>
      <c r="E136" s="20">
        <v>1</v>
      </c>
      <c r="F136" s="41">
        <f t="shared" si="4"/>
        <v>144</v>
      </c>
    </row>
    <row r="137" spans="1:6" s="27" customFormat="1" ht="27.6">
      <c r="A137" s="35">
        <v>136</v>
      </c>
      <c r="B137" s="29" t="s">
        <v>295</v>
      </c>
      <c r="C137" s="29" t="s">
        <v>59</v>
      </c>
      <c r="D137" s="27" t="s">
        <v>431</v>
      </c>
      <c r="E137" s="20">
        <v>0</v>
      </c>
      <c r="F137" s="41">
        <f t="shared" si="4"/>
        <v>42</v>
      </c>
    </row>
    <row r="138" spans="1:6" s="27" customFormat="1" ht="41.4">
      <c r="A138" s="35">
        <v>137</v>
      </c>
      <c r="B138" s="29" t="s">
        <v>294</v>
      </c>
      <c r="C138" s="29" t="s">
        <v>49</v>
      </c>
      <c r="D138" s="27" t="s">
        <v>431</v>
      </c>
      <c r="E138" s="20">
        <v>1</v>
      </c>
      <c r="F138" s="41">
        <f t="shared" si="4"/>
        <v>51</v>
      </c>
    </row>
    <row r="139" spans="1:6" s="27" customFormat="1" ht="27.6">
      <c r="A139" s="35">
        <v>138</v>
      </c>
      <c r="B139" s="29" t="s">
        <v>293</v>
      </c>
      <c r="C139" s="29" t="s">
        <v>55</v>
      </c>
      <c r="D139" s="27" t="s">
        <v>431</v>
      </c>
      <c r="E139" s="20">
        <v>0</v>
      </c>
      <c r="F139" s="41">
        <f t="shared" si="4"/>
        <v>40</v>
      </c>
    </row>
    <row r="140" spans="1:6" s="27" customFormat="1" ht="82.8">
      <c r="A140" s="35">
        <v>139</v>
      </c>
      <c r="B140" s="29" t="s">
        <v>292</v>
      </c>
      <c r="C140" s="29" t="s">
        <v>140</v>
      </c>
      <c r="D140" s="27" t="s">
        <v>431</v>
      </c>
      <c r="E140" s="27">
        <v>5</v>
      </c>
      <c r="F140" s="41">
        <f t="shared" si="4"/>
        <v>118</v>
      </c>
    </row>
    <row r="141" spans="1:6" s="27" customFormat="1" ht="13.8">
      <c r="A141" s="35">
        <v>140</v>
      </c>
      <c r="B141" s="29" t="s">
        <v>291</v>
      </c>
      <c r="C141" s="29" t="s">
        <v>49</v>
      </c>
      <c r="D141" s="27" t="s">
        <v>431</v>
      </c>
      <c r="E141" s="20">
        <v>1</v>
      </c>
      <c r="F141" s="41">
        <f t="shared" si="4"/>
        <v>11</v>
      </c>
    </row>
    <row r="142" spans="1:6" s="27" customFormat="1" ht="27.6">
      <c r="A142" s="35">
        <v>141</v>
      </c>
      <c r="B142" s="29" t="s">
        <v>578</v>
      </c>
      <c r="C142" s="29" t="s">
        <v>60</v>
      </c>
      <c r="D142" s="27" t="s">
        <v>431</v>
      </c>
      <c r="E142" s="20">
        <v>2</v>
      </c>
      <c r="F142" s="41">
        <f t="shared" si="4"/>
        <v>47</v>
      </c>
    </row>
    <row r="143" spans="1:6" s="27" customFormat="1" ht="27.6">
      <c r="A143" s="35">
        <v>142</v>
      </c>
      <c r="B143" s="29" t="s">
        <v>289</v>
      </c>
      <c r="C143" s="29" t="s">
        <v>60</v>
      </c>
      <c r="D143" s="27" t="s">
        <v>431</v>
      </c>
      <c r="E143" s="20">
        <v>2</v>
      </c>
      <c r="F143" s="41">
        <f t="shared" si="4"/>
        <v>38</v>
      </c>
    </row>
    <row r="144" spans="1:6" s="27" customFormat="1" ht="13.8">
      <c r="A144" s="35">
        <v>143</v>
      </c>
      <c r="B144" s="29" t="s">
        <v>288</v>
      </c>
      <c r="C144" s="29" t="s">
        <v>60</v>
      </c>
      <c r="D144" s="27" t="s">
        <v>431</v>
      </c>
      <c r="E144" s="20">
        <v>2</v>
      </c>
      <c r="F144" s="41">
        <f t="shared" si="4"/>
        <v>20</v>
      </c>
    </row>
    <row r="145" spans="1:6" s="27" customFormat="1" ht="69">
      <c r="A145" s="35">
        <v>144</v>
      </c>
      <c r="B145" s="29" t="s">
        <v>579</v>
      </c>
      <c r="C145" s="29" t="s">
        <v>50</v>
      </c>
      <c r="D145" s="27" t="s">
        <v>431</v>
      </c>
      <c r="E145" s="20">
        <v>0</v>
      </c>
      <c r="F145" s="41">
        <f t="shared" si="4"/>
        <v>103</v>
      </c>
    </row>
    <row r="146" spans="1:6" s="27" customFormat="1" ht="27.6">
      <c r="A146" s="35">
        <v>145</v>
      </c>
      <c r="B146" s="29" t="s">
        <v>286</v>
      </c>
      <c r="C146" s="29" t="s">
        <v>131</v>
      </c>
      <c r="D146" s="27" t="s">
        <v>431</v>
      </c>
      <c r="E146" s="27">
        <v>7</v>
      </c>
      <c r="F146" s="41">
        <f t="shared" si="4"/>
        <v>41</v>
      </c>
    </row>
    <row r="147" spans="1:6" s="27" customFormat="1" ht="27.6">
      <c r="A147" s="35">
        <v>146</v>
      </c>
      <c r="B147" s="29" t="s">
        <v>580</v>
      </c>
      <c r="C147" s="29" t="s">
        <v>61</v>
      </c>
      <c r="D147" s="27" t="s">
        <v>431</v>
      </c>
      <c r="E147" s="20">
        <v>0</v>
      </c>
      <c r="F147" s="41">
        <f t="shared" si="4"/>
        <v>32</v>
      </c>
    </row>
    <row r="148" spans="1:6" s="27" customFormat="1" ht="13.8">
      <c r="A148" s="35">
        <v>147</v>
      </c>
      <c r="B148" s="29" t="s">
        <v>284</v>
      </c>
      <c r="C148" s="29" t="s">
        <v>63</v>
      </c>
      <c r="D148" s="27" t="s">
        <v>431</v>
      </c>
      <c r="E148" s="20">
        <v>0</v>
      </c>
      <c r="F148" s="41">
        <f t="shared" si="4"/>
        <v>22</v>
      </c>
    </row>
    <row r="149" spans="1:6" s="27" customFormat="1" ht="13.8">
      <c r="A149" s="35">
        <v>148</v>
      </c>
      <c r="B149" s="29" t="s">
        <v>283</v>
      </c>
      <c r="C149" s="29" t="s">
        <v>52</v>
      </c>
      <c r="D149" s="27" t="s">
        <v>431</v>
      </c>
      <c r="E149" s="20">
        <v>0</v>
      </c>
      <c r="F149" s="41">
        <f t="shared" si="4"/>
        <v>16</v>
      </c>
    </row>
    <row r="150" spans="1:6" s="27" customFormat="1" ht="27.6">
      <c r="A150" s="35">
        <v>149</v>
      </c>
      <c r="B150" s="29" t="s">
        <v>581</v>
      </c>
      <c r="C150" s="29" t="s">
        <v>60</v>
      </c>
      <c r="D150" s="27" t="s">
        <v>431</v>
      </c>
      <c r="E150" s="20">
        <v>2</v>
      </c>
      <c r="F150" s="41">
        <f t="shared" si="4"/>
        <v>32</v>
      </c>
    </row>
    <row r="151" spans="1:6" s="27" customFormat="1" ht="82.8">
      <c r="A151" s="35">
        <v>150</v>
      </c>
      <c r="B151" s="29" t="s">
        <v>582</v>
      </c>
      <c r="C151" s="29" t="s">
        <v>49</v>
      </c>
      <c r="D151" s="27" t="s">
        <v>431</v>
      </c>
      <c r="E151" s="20">
        <v>1</v>
      </c>
      <c r="F151" s="41">
        <f t="shared" si="4"/>
        <v>124</v>
      </c>
    </row>
    <row r="152" spans="1:6" s="27" customFormat="1" ht="27.6">
      <c r="A152" s="35">
        <v>151</v>
      </c>
      <c r="B152" s="29" t="s">
        <v>366</v>
      </c>
      <c r="C152" s="29" t="s">
        <v>62</v>
      </c>
      <c r="D152" s="27" t="s">
        <v>432</v>
      </c>
      <c r="E152" s="20">
        <v>0</v>
      </c>
      <c r="F152" s="41">
        <f t="shared" si="4"/>
        <v>42</v>
      </c>
    </row>
    <row r="153" spans="1:6" s="27" customFormat="1" ht="27.6">
      <c r="A153" s="35">
        <v>152</v>
      </c>
      <c r="B153" s="29" t="s">
        <v>365</v>
      </c>
      <c r="C153" s="29" t="s">
        <v>62</v>
      </c>
      <c r="D153" s="27" t="s">
        <v>432</v>
      </c>
      <c r="E153" s="20">
        <v>0</v>
      </c>
      <c r="F153" s="41">
        <f t="shared" si="4"/>
        <v>25</v>
      </c>
    </row>
    <row r="154" spans="1:6" s="27" customFormat="1" ht="41.4">
      <c r="A154" s="35">
        <v>153</v>
      </c>
      <c r="B154" s="29" t="s">
        <v>364</v>
      </c>
      <c r="C154" s="29" t="s">
        <v>55</v>
      </c>
      <c r="D154" s="27" t="s">
        <v>432</v>
      </c>
      <c r="E154" s="20">
        <v>0</v>
      </c>
      <c r="F154" s="41">
        <f t="shared" si="4"/>
        <v>55</v>
      </c>
    </row>
    <row r="155" spans="1:6" s="27" customFormat="1" ht="69">
      <c r="A155" s="35">
        <v>154</v>
      </c>
      <c r="B155" s="29" t="s">
        <v>437</v>
      </c>
      <c r="C155" s="29" t="s">
        <v>62</v>
      </c>
      <c r="D155" s="27" t="s">
        <v>432</v>
      </c>
      <c r="E155" s="20">
        <v>0</v>
      </c>
      <c r="F155" s="41">
        <f t="shared" si="4"/>
        <v>106</v>
      </c>
    </row>
    <row r="156" spans="1:6" s="27" customFormat="1" ht="27.6">
      <c r="A156" s="35">
        <v>155</v>
      </c>
      <c r="B156" s="29" t="s">
        <v>363</v>
      </c>
      <c r="C156" s="29" t="s">
        <v>63</v>
      </c>
      <c r="D156" s="27" t="s">
        <v>432</v>
      </c>
      <c r="E156" s="20">
        <v>0</v>
      </c>
      <c r="F156" s="41">
        <f t="shared" si="4"/>
        <v>34</v>
      </c>
    </row>
    <row r="157" spans="1:6" s="27" customFormat="1" ht="41.4">
      <c r="A157" s="35">
        <v>156</v>
      </c>
      <c r="B157" s="29" t="s">
        <v>438</v>
      </c>
      <c r="C157" s="29" t="s">
        <v>55</v>
      </c>
      <c r="D157" s="27" t="s">
        <v>432</v>
      </c>
      <c r="E157" s="20">
        <v>0</v>
      </c>
      <c r="F157" s="41">
        <f t="shared" si="4"/>
        <v>68</v>
      </c>
    </row>
    <row r="158" spans="1:6" s="27" customFormat="1" ht="41.4">
      <c r="A158" s="35">
        <v>157</v>
      </c>
      <c r="B158" s="29" t="s">
        <v>439</v>
      </c>
      <c r="C158" s="29" t="s">
        <v>60</v>
      </c>
      <c r="D158" s="27" t="s">
        <v>432</v>
      </c>
      <c r="E158" s="20">
        <v>2</v>
      </c>
      <c r="F158" s="41">
        <f t="shared" si="4"/>
        <v>62</v>
      </c>
    </row>
    <row r="159" spans="1:6" s="27" customFormat="1" ht="55.2">
      <c r="A159" s="35">
        <v>158</v>
      </c>
      <c r="B159" s="29" t="s">
        <v>440</v>
      </c>
      <c r="C159" s="29" t="s">
        <v>59</v>
      </c>
      <c r="D159" s="27" t="s">
        <v>432</v>
      </c>
      <c r="E159" s="20">
        <v>0</v>
      </c>
      <c r="F159" s="41">
        <f t="shared" si="4"/>
        <v>90</v>
      </c>
    </row>
    <row r="160" spans="1:6" s="27" customFormat="1" ht="27.6">
      <c r="A160" s="35">
        <v>159</v>
      </c>
      <c r="B160" s="29" t="s">
        <v>362</v>
      </c>
      <c r="C160" s="29" t="s">
        <v>62</v>
      </c>
      <c r="D160" s="27" t="s">
        <v>432</v>
      </c>
      <c r="E160" s="20">
        <v>0</v>
      </c>
      <c r="F160" s="41">
        <f t="shared" si="4"/>
        <v>45</v>
      </c>
    </row>
    <row r="161" spans="1:6" s="27" customFormat="1" ht="13.8">
      <c r="A161" s="35">
        <v>160</v>
      </c>
      <c r="B161" s="29" t="s">
        <v>361</v>
      </c>
      <c r="C161" s="29" t="s">
        <v>49</v>
      </c>
      <c r="D161" s="27" t="s">
        <v>432</v>
      </c>
      <c r="E161" s="20">
        <v>1</v>
      </c>
      <c r="F161" s="41">
        <f t="shared" si="4"/>
        <v>12</v>
      </c>
    </row>
    <row r="162" spans="1:6" s="27" customFormat="1" ht="41.4">
      <c r="A162" s="35">
        <v>161</v>
      </c>
      <c r="B162" s="29" t="s">
        <v>360</v>
      </c>
      <c r="C162" s="29" t="s">
        <v>60</v>
      </c>
      <c r="D162" s="27" t="s">
        <v>432</v>
      </c>
      <c r="E162" s="20">
        <v>2</v>
      </c>
      <c r="F162" s="41">
        <f t="shared" ref="F162:F193" si="5">LEN($B162)-LEN(SUBSTITUTE($B162," ",""))+1</f>
        <v>57</v>
      </c>
    </row>
    <row r="163" spans="1:6" s="27" customFormat="1" ht="41.4">
      <c r="A163" s="35">
        <v>162</v>
      </c>
      <c r="B163" s="29" t="s">
        <v>441</v>
      </c>
      <c r="C163" s="29" t="s">
        <v>61</v>
      </c>
      <c r="D163" s="27" t="s">
        <v>432</v>
      </c>
      <c r="E163" s="20">
        <v>0</v>
      </c>
      <c r="F163" s="41">
        <f t="shared" si="5"/>
        <v>67</v>
      </c>
    </row>
    <row r="164" spans="1:6" s="27" customFormat="1" ht="55.2">
      <c r="A164" s="35">
        <v>163</v>
      </c>
      <c r="B164" s="29" t="s">
        <v>442</v>
      </c>
      <c r="C164" s="29" t="s">
        <v>61</v>
      </c>
      <c r="D164" s="27" t="s">
        <v>432</v>
      </c>
      <c r="E164" s="20">
        <v>0</v>
      </c>
      <c r="F164" s="41">
        <f t="shared" si="5"/>
        <v>87</v>
      </c>
    </row>
    <row r="165" spans="1:6" s="27" customFormat="1" ht="41.4">
      <c r="A165" s="35">
        <v>164</v>
      </c>
      <c r="B165" s="29" t="s">
        <v>359</v>
      </c>
      <c r="C165" s="29" t="s">
        <v>54</v>
      </c>
      <c r="D165" s="27" t="s">
        <v>432</v>
      </c>
      <c r="E165" s="20">
        <v>3</v>
      </c>
      <c r="F165" s="41">
        <f t="shared" si="5"/>
        <v>62</v>
      </c>
    </row>
    <row r="166" spans="1:6" s="27" customFormat="1" ht="13.8">
      <c r="A166" s="35">
        <v>165</v>
      </c>
      <c r="B166" s="29" t="s">
        <v>358</v>
      </c>
      <c r="C166" s="29" t="s">
        <v>51</v>
      </c>
      <c r="D166" s="27" t="s">
        <v>432</v>
      </c>
      <c r="E166" s="20">
        <v>0</v>
      </c>
      <c r="F166" s="41">
        <f t="shared" si="5"/>
        <v>26</v>
      </c>
    </row>
    <row r="167" spans="1:6" s="27" customFormat="1" ht="41.4">
      <c r="A167" s="35">
        <v>166</v>
      </c>
      <c r="B167" s="29" t="s">
        <v>443</v>
      </c>
      <c r="C167" s="29" t="s">
        <v>62</v>
      </c>
      <c r="D167" s="27" t="s">
        <v>432</v>
      </c>
      <c r="E167" s="20">
        <v>0</v>
      </c>
      <c r="F167" s="41">
        <f t="shared" si="5"/>
        <v>52</v>
      </c>
    </row>
    <row r="168" spans="1:6" s="27" customFormat="1" ht="41.4">
      <c r="A168" s="35">
        <v>167</v>
      </c>
      <c r="B168" s="29" t="s">
        <v>357</v>
      </c>
      <c r="C168" s="29" t="s">
        <v>54</v>
      </c>
      <c r="D168" s="27" t="s">
        <v>432</v>
      </c>
      <c r="E168" s="20">
        <v>3</v>
      </c>
      <c r="F168" s="41">
        <f t="shared" si="5"/>
        <v>58</v>
      </c>
    </row>
    <row r="169" spans="1:6" s="27" customFormat="1" ht="41.4">
      <c r="A169" s="35">
        <v>168</v>
      </c>
      <c r="B169" s="29" t="s">
        <v>444</v>
      </c>
      <c r="C169" s="29" t="s">
        <v>55</v>
      </c>
      <c r="D169" s="27" t="s">
        <v>432</v>
      </c>
      <c r="E169" s="20">
        <v>0</v>
      </c>
      <c r="F169" s="41">
        <f t="shared" si="5"/>
        <v>67</v>
      </c>
    </row>
    <row r="170" spans="1:6" s="27" customFormat="1" ht="27.6">
      <c r="A170" s="35">
        <v>169</v>
      </c>
      <c r="B170" s="29" t="s">
        <v>356</v>
      </c>
      <c r="C170" s="29" t="s">
        <v>59</v>
      </c>
      <c r="D170" s="27" t="s">
        <v>432</v>
      </c>
      <c r="E170" s="20">
        <v>0</v>
      </c>
      <c r="F170" s="41">
        <f t="shared" si="5"/>
        <v>31</v>
      </c>
    </row>
    <row r="171" spans="1:6" s="27" customFormat="1" ht="55.2">
      <c r="A171" s="35">
        <v>170</v>
      </c>
      <c r="B171" s="29" t="s">
        <v>355</v>
      </c>
      <c r="C171" s="29" t="s">
        <v>54</v>
      </c>
      <c r="D171" s="27" t="s">
        <v>432</v>
      </c>
      <c r="E171" s="20">
        <v>3</v>
      </c>
      <c r="F171" s="41">
        <f t="shared" si="5"/>
        <v>81</v>
      </c>
    </row>
    <row r="172" spans="1:6" s="27" customFormat="1" ht="55.2">
      <c r="A172" s="35">
        <v>171</v>
      </c>
      <c r="B172" s="29" t="s">
        <v>445</v>
      </c>
      <c r="C172" s="29" t="s">
        <v>49</v>
      </c>
      <c r="D172" s="27" t="s">
        <v>432</v>
      </c>
      <c r="E172" s="20">
        <v>1</v>
      </c>
      <c r="F172" s="41">
        <f t="shared" si="5"/>
        <v>74</v>
      </c>
    </row>
    <row r="173" spans="1:6" s="27" customFormat="1" ht="13.8">
      <c r="A173" s="35">
        <v>172</v>
      </c>
      <c r="B173" s="29" t="s">
        <v>354</v>
      </c>
      <c r="C173" s="29" t="s">
        <v>59</v>
      </c>
      <c r="D173" s="27" t="s">
        <v>432</v>
      </c>
      <c r="E173" s="20">
        <v>0</v>
      </c>
      <c r="F173" s="41">
        <f t="shared" si="5"/>
        <v>24</v>
      </c>
    </row>
    <row r="174" spans="1:6" s="27" customFormat="1" ht="27.6">
      <c r="A174" s="35">
        <v>173</v>
      </c>
      <c r="B174" s="29" t="s">
        <v>353</v>
      </c>
      <c r="C174" s="29" t="s">
        <v>52</v>
      </c>
      <c r="D174" s="27" t="s">
        <v>432</v>
      </c>
      <c r="E174" s="20">
        <v>0</v>
      </c>
      <c r="F174" s="41">
        <f t="shared" si="5"/>
        <v>30</v>
      </c>
    </row>
    <row r="175" spans="1:6" s="27" customFormat="1" ht="41.4">
      <c r="A175" s="35">
        <v>174</v>
      </c>
      <c r="B175" s="29" t="s">
        <v>352</v>
      </c>
      <c r="C175" s="29" t="s">
        <v>51</v>
      </c>
      <c r="D175" s="27" t="s">
        <v>432</v>
      </c>
      <c r="E175" s="20">
        <v>0</v>
      </c>
      <c r="F175" s="41">
        <f t="shared" si="5"/>
        <v>54</v>
      </c>
    </row>
    <row r="176" spans="1:6" s="27" customFormat="1" ht="27.6">
      <c r="A176" s="35">
        <v>175</v>
      </c>
      <c r="B176" s="29" t="s">
        <v>446</v>
      </c>
      <c r="C176" s="29" t="s">
        <v>54</v>
      </c>
      <c r="D176" s="27" t="s">
        <v>432</v>
      </c>
      <c r="E176" s="20">
        <v>3</v>
      </c>
      <c r="F176" s="41">
        <f t="shared" si="5"/>
        <v>45</v>
      </c>
    </row>
    <row r="177" spans="1:6" s="27" customFormat="1" ht="55.2">
      <c r="A177" s="35">
        <v>176</v>
      </c>
      <c r="B177" s="29" t="s">
        <v>447</v>
      </c>
      <c r="C177" s="29" t="s">
        <v>50</v>
      </c>
      <c r="D177" s="27" t="s">
        <v>432</v>
      </c>
      <c r="E177" s="20">
        <v>0</v>
      </c>
      <c r="F177" s="41">
        <f t="shared" si="5"/>
        <v>83</v>
      </c>
    </row>
    <row r="178" spans="1:6" s="27" customFormat="1" ht="41.4">
      <c r="A178" s="35">
        <v>177</v>
      </c>
      <c r="B178" s="29" t="s">
        <v>351</v>
      </c>
      <c r="C178" s="29" t="s">
        <v>50</v>
      </c>
      <c r="D178" s="27" t="s">
        <v>432</v>
      </c>
      <c r="E178" s="20">
        <v>0</v>
      </c>
      <c r="F178" s="41">
        <f t="shared" si="5"/>
        <v>57</v>
      </c>
    </row>
    <row r="179" spans="1:6" s="27" customFormat="1" ht="13.8">
      <c r="A179" s="35">
        <v>178</v>
      </c>
      <c r="B179" s="29" t="s">
        <v>350</v>
      </c>
      <c r="C179" s="29" t="s">
        <v>49</v>
      </c>
      <c r="D179" s="27" t="s">
        <v>432</v>
      </c>
      <c r="E179" s="20">
        <v>1</v>
      </c>
      <c r="F179" s="41">
        <f t="shared" si="5"/>
        <v>13</v>
      </c>
    </row>
    <row r="180" spans="1:6" s="27" customFormat="1" ht="82.8">
      <c r="A180" s="35">
        <v>179</v>
      </c>
      <c r="B180" s="29" t="s">
        <v>349</v>
      </c>
      <c r="C180" s="29" t="s">
        <v>49</v>
      </c>
      <c r="D180" s="27" t="s">
        <v>432</v>
      </c>
      <c r="E180" s="20">
        <v>1</v>
      </c>
      <c r="F180" s="41">
        <f t="shared" si="5"/>
        <v>139</v>
      </c>
    </row>
    <row r="181" spans="1:6" s="27" customFormat="1" ht="69">
      <c r="A181" s="35">
        <v>180</v>
      </c>
      <c r="B181" s="29" t="s">
        <v>448</v>
      </c>
      <c r="C181" s="29" t="s">
        <v>60</v>
      </c>
      <c r="D181" s="27" t="s">
        <v>432</v>
      </c>
      <c r="E181" s="20">
        <v>2</v>
      </c>
      <c r="F181" s="41">
        <f t="shared" si="5"/>
        <v>104</v>
      </c>
    </row>
    <row r="182" spans="1:6" s="27" customFormat="1" ht="13.8">
      <c r="A182" s="35">
        <v>181</v>
      </c>
      <c r="B182" s="29" t="s">
        <v>348</v>
      </c>
      <c r="C182" s="29" t="s">
        <v>55</v>
      </c>
      <c r="D182" s="27" t="s">
        <v>432</v>
      </c>
      <c r="E182" s="20">
        <v>0</v>
      </c>
      <c r="F182" s="41">
        <f t="shared" si="5"/>
        <v>14</v>
      </c>
    </row>
    <row r="183" spans="1:6" s="27" customFormat="1" ht="41.4">
      <c r="A183" s="35">
        <v>182</v>
      </c>
      <c r="B183" s="29" t="s">
        <v>347</v>
      </c>
      <c r="C183" s="29" t="s">
        <v>49</v>
      </c>
      <c r="D183" s="27" t="s">
        <v>432</v>
      </c>
      <c r="E183" s="20">
        <v>1</v>
      </c>
      <c r="F183" s="41">
        <f t="shared" si="5"/>
        <v>61</v>
      </c>
    </row>
    <row r="184" spans="1:6" s="27" customFormat="1" ht="69">
      <c r="A184" s="35">
        <v>183</v>
      </c>
      <c r="B184" s="29" t="s">
        <v>346</v>
      </c>
      <c r="C184" s="29" t="s">
        <v>60</v>
      </c>
      <c r="D184" s="27" t="s">
        <v>432</v>
      </c>
      <c r="E184" s="20">
        <v>2</v>
      </c>
      <c r="F184" s="41">
        <f t="shared" si="5"/>
        <v>123</v>
      </c>
    </row>
    <row r="185" spans="1:6" s="27" customFormat="1" ht="69">
      <c r="A185" s="35">
        <v>184</v>
      </c>
      <c r="B185" s="29" t="s">
        <v>345</v>
      </c>
      <c r="C185" s="29" t="s">
        <v>54</v>
      </c>
      <c r="D185" s="27" t="s">
        <v>432</v>
      </c>
      <c r="E185" s="20">
        <v>3</v>
      </c>
      <c r="F185" s="41">
        <f t="shared" si="5"/>
        <v>118</v>
      </c>
    </row>
    <row r="186" spans="1:6" s="27" customFormat="1" ht="96.6">
      <c r="A186" s="35">
        <v>185</v>
      </c>
      <c r="B186" s="29" t="s">
        <v>344</v>
      </c>
      <c r="C186" s="29" t="s">
        <v>60</v>
      </c>
      <c r="D186" s="27" t="s">
        <v>432</v>
      </c>
      <c r="E186" s="20">
        <v>2</v>
      </c>
      <c r="F186" s="41">
        <f t="shared" si="5"/>
        <v>169</v>
      </c>
    </row>
    <row r="187" spans="1:6" s="27" customFormat="1" ht="41.4">
      <c r="A187" s="35">
        <v>186</v>
      </c>
      <c r="B187" s="29" t="s">
        <v>343</v>
      </c>
      <c r="C187" s="29" t="s">
        <v>54</v>
      </c>
      <c r="D187" s="27" t="s">
        <v>432</v>
      </c>
      <c r="E187" s="20">
        <v>3</v>
      </c>
      <c r="F187" s="41">
        <f t="shared" si="5"/>
        <v>69</v>
      </c>
    </row>
    <row r="188" spans="1:6" s="27" customFormat="1" ht="41.4">
      <c r="A188" s="35">
        <v>187</v>
      </c>
      <c r="B188" s="29" t="s">
        <v>342</v>
      </c>
      <c r="C188" s="29" t="s">
        <v>60</v>
      </c>
      <c r="D188" s="27" t="s">
        <v>432</v>
      </c>
      <c r="E188" s="20">
        <v>2</v>
      </c>
      <c r="F188" s="41">
        <f t="shared" si="5"/>
        <v>65</v>
      </c>
    </row>
    <row r="189" spans="1:6" s="27" customFormat="1" ht="41.4">
      <c r="A189" s="35">
        <v>188</v>
      </c>
      <c r="B189" s="29" t="s">
        <v>341</v>
      </c>
      <c r="C189" s="29" t="s">
        <v>54</v>
      </c>
      <c r="D189" s="27" t="s">
        <v>432</v>
      </c>
      <c r="E189" s="20">
        <v>3</v>
      </c>
      <c r="F189" s="41">
        <f t="shared" si="5"/>
        <v>62</v>
      </c>
    </row>
    <row r="190" spans="1:6" s="27" customFormat="1" ht="41.4">
      <c r="A190" s="35">
        <v>189</v>
      </c>
      <c r="B190" s="29" t="s">
        <v>449</v>
      </c>
      <c r="C190" s="29" t="s">
        <v>60</v>
      </c>
      <c r="D190" s="27" t="s">
        <v>432</v>
      </c>
      <c r="E190" s="20">
        <v>2</v>
      </c>
      <c r="F190" s="41">
        <f t="shared" si="5"/>
        <v>56</v>
      </c>
    </row>
    <row r="191" spans="1:6" s="27" customFormat="1" ht="27.6">
      <c r="A191" s="35">
        <v>190</v>
      </c>
      <c r="B191" s="29" t="s">
        <v>340</v>
      </c>
      <c r="C191" s="29" t="s">
        <v>49</v>
      </c>
      <c r="D191" s="27" t="s">
        <v>432</v>
      </c>
      <c r="E191" s="20">
        <v>1</v>
      </c>
      <c r="F191" s="41">
        <f t="shared" si="5"/>
        <v>42</v>
      </c>
    </row>
    <row r="192" spans="1:6" s="27" customFormat="1" ht="41.4">
      <c r="A192" s="35">
        <v>191</v>
      </c>
      <c r="B192" s="29" t="s">
        <v>339</v>
      </c>
      <c r="C192" s="29" t="s">
        <v>60</v>
      </c>
      <c r="D192" s="27" t="s">
        <v>432</v>
      </c>
      <c r="E192" s="20">
        <v>2</v>
      </c>
      <c r="F192" s="41">
        <f t="shared" si="5"/>
        <v>60</v>
      </c>
    </row>
    <row r="193" spans="1:6" s="27" customFormat="1" ht="41.4">
      <c r="A193" s="35">
        <v>192</v>
      </c>
      <c r="B193" s="29" t="s">
        <v>338</v>
      </c>
      <c r="C193" s="29" t="s">
        <v>155</v>
      </c>
      <c r="D193" s="27" t="s">
        <v>432</v>
      </c>
      <c r="E193" s="27">
        <v>8</v>
      </c>
      <c r="F193" s="41">
        <f t="shared" si="5"/>
        <v>56</v>
      </c>
    </row>
    <row r="194" spans="1:6" s="27" customFormat="1" ht="27.6">
      <c r="A194" s="35">
        <v>193</v>
      </c>
      <c r="B194" s="29" t="s">
        <v>450</v>
      </c>
      <c r="C194" s="29" t="s">
        <v>54</v>
      </c>
      <c r="D194" s="27" t="s">
        <v>432</v>
      </c>
      <c r="E194" s="20">
        <v>3</v>
      </c>
      <c r="F194" s="41">
        <f t="shared" ref="F194:F201" si="6">LEN($B194)-LEN(SUBSTITUTE($B194," ",""))+1</f>
        <v>44</v>
      </c>
    </row>
    <row r="195" spans="1:6" s="27" customFormat="1" ht="27.6">
      <c r="A195" s="35">
        <v>194</v>
      </c>
      <c r="B195" s="29" t="s">
        <v>451</v>
      </c>
      <c r="C195" s="29" t="s">
        <v>60</v>
      </c>
      <c r="D195" s="27" t="s">
        <v>432</v>
      </c>
      <c r="E195" s="20">
        <v>2</v>
      </c>
      <c r="F195" s="41">
        <f t="shared" si="6"/>
        <v>44</v>
      </c>
    </row>
    <row r="196" spans="1:6" s="27" customFormat="1" ht="27.6">
      <c r="A196" s="35">
        <v>195</v>
      </c>
      <c r="B196" s="29" t="s">
        <v>337</v>
      </c>
      <c r="C196" s="29" t="s">
        <v>49</v>
      </c>
      <c r="D196" s="27" t="s">
        <v>432</v>
      </c>
      <c r="E196" s="20">
        <v>1</v>
      </c>
      <c r="F196" s="41">
        <f t="shared" si="6"/>
        <v>29</v>
      </c>
    </row>
    <row r="197" spans="1:6" s="27" customFormat="1" ht="41.4">
      <c r="A197" s="35">
        <v>196</v>
      </c>
      <c r="B197" s="29" t="s">
        <v>336</v>
      </c>
      <c r="C197" s="29" t="s">
        <v>54</v>
      </c>
      <c r="D197" s="27" t="s">
        <v>432</v>
      </c>
      <c r="E197" s="20">
        <v>3</v>
      </c>
      <c r="F197" s="41">
        <f t="shared" si="6"/>
        <v>69</v>
      </c>
    </row>
    <row r="198" spans="1:6" s="27" customFormat="1" ht="41.4">
      <c r="A198" s="35">
        <v>197</v>
      </c>
      <c r="B198" s="29" t="s">
        <v>335</v>
      </c>
      <c r="C198" s="29" t="s">
        <v>54</v>
      </c>
      <c r="D198" s="27" t="s">
        <v>432</v>
      </c>
      <c r="E198" s="20">
        <v>3</v>
      </c>
      <c r="F198" s="41">
        <f t="shared" si="6"/>
        <v>80</v>
      </c>
    </row>
    <row r="199" spans="1:6" s="27" customFormat="1" ht="27.6">
      <c r="A199" s="35">
        <v>198</v>
      </c>
      <c r="B199" s="29" t="s">
        <v>334</v>
      </c>
      <c r="C199" s="29" t="s">
        <v>60</v>
      </c>
      <c r="D199" s="27" t="s">
        <v>432</v>
      </c>
      <c r="E199" s="20">
        <v>2</v>
      </c>
      <c r="F199" s="41">
        <f t="shared" si="6"/>
        <v>25</v>
      </c>
    </row>
    <row r="200" spans="1:6" s="27" customFormat="1" ht="27.6">
      <c r="A200" s="35">
        <v>199</v>
      </c>
      <c r="B200" s="29" t="s">
        <v>333</v>
      </c>
      <c r="C200" s="29" t="s">
        <v>131</v>
      </c>
      <c r="D200" s="27" t="s">
        <v>432</v>
      </c>
      <c r="E200" s="27">
        <v>7</v>
      </c>
      <c r="F200" s="41">
        <f t="shared" si="6"/>
        <v>29</v>
      </c>
    </row>
    <row r="201" spans="1:6" s="27" customFormat="1" ht="27.6">
      <c r="A201" s="35">
        <v>200</v>
      </c>
      <c r="B201" s="29" t="s">
        <v>332</v>
      </c>
      <c r="C201" s="29" t="s">
        <v>54</v>
      </c>
      <c r="D201" s="27" t="s">
        <v>432</v>
      </c>
      <c r="E201" s="20">
        <v>3</v>
      </c>
      <c r="F201" s="41">
        <f t="shared" si="6"/>
        <v>31</v>
      </c>
    </row>
  </sheetData>
  <autoFilter ref="A1:F1" xr:uid="{2D3E4E69-AF01-4BEB-A3E5-5C6605A1889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68871-4175-4D5F-8748-F5941BC85ED8}">
  <sheetPr codeName="Sheet1"/>
  <dimension ref="A1:G13"/>
  <sheetViews>
    <sheetView workbookViewId="0">
      <selection activeCell="F20" sqref="F20"/>
    </sheetView>
  </sheetViews>
  <sheetFormatPr defaultColWidth="9.109375" defaultRowHeight="13.8"/>
  <cols>
    <col min="1" max="3" width="15.109375" style="12" customWidth="1"/>
    <col min="4" max="4" width="9.109375" style="12"/>
    <col min="5" max="5" width="14.44140625" style="42" bestFit="1" customWidth="1"/>
    <col min="6" max="7" width="10.5546875" style="42" customWidth="1"/>
    <col min="8" max="16384" width="9.109375" style="12"/>
  </cols>
  <sheetData>
    <row r="1" spans="1:7" ht="14.25" customHeight="1">
      <c r="A1" s="44" t="s">
        <v>435</v>
      </c>
      <c r="B1" s="44"/>
      <c r="C1" s="44"/>
      <c r="E1" s="44" t="s">
        <v>585</v>
      </c>
      <c r="F1" s="44"/>
      <c r="G1" s="44"/>
    </row>
    <row r="2" spans="1:7">
      <c r="A2" s="39" t="s">
        <v>422</v>
      </c>
      <c r="B2" s="39" t="s">
        <v>433</v>
      </c>
      <c r="C2" s="39" t="s">
        <v>434</v>
      </c>
      <c r="E2" s="40"/>
      <c r="F2" s="40" t="s">
        <v>433</v>
      </c>
      <c r="G2" s="40" t="s">
        <v>434</v>
      </c>
    </row>
    <row r="3" spans="1:7">
      <c r="A3" s="39">
        <v>0</v>
      </c>
      <c r="B3" s="38">
        <f>COUNTIF(Public_raw!$E$2:$E$201,"0")</f>
        <v>158</v>
      </c>
      <c r="C3" s="38">
        <f>COUNTIF(Private_raw!$E$2:$E$201,"0")</f>
        <v>108</v>
      </c>
      <c r="E3" s="40" t="s">
        <v>586</v>
      </c>
      <c r="F3" s="43">
        <f>MIN(Public_raw!$F$2:$F$201)</f>
        <v>15</v>
      </c>
      <c r="G3" s="43">
        <f>MIN(Private_raw!$F$2:$F$201)</f>
        <v>11</v>
      </c>
    </row>
    <row r="4" spans="1:7">
      <c r="A4" s="39">
        <v>1</v>
      </c>
      <c r="B4" s="38">
        <f>COUNTIF(Public_raw!$E$2:$E$201,"1")</f>
        <v>30</v>
      </c>
      <c r="C4" s="38">
        <f>COUNTIF(Private_raw!$E$2:$E$201,"1")</f>
        <v>37</v>
      </c>
      <c r="E4" s="40" t="s">
        <v>587</v>
      </c>
      <c r="F4" s="43">
        <f>QUARTILE(Public_raw!$F$2:$F$201,1)</f>
        <v>60</v>
      </c>
      <c r="G4" s="43">
        <f>QUARTILE(Private_raw!$F$2:$F$201,1)</f>
        <v>49</v>
      </c>
    </row>
    <row r="5" spans="1:7">
      <c r="A5" s="39">
        <v>2</v>
      </c>
      <c r="B5" s="38">
        <f>COUNTIF(Public_raw!$E$2:$E$201,"2")</f>
        <v>7</v>
      </c>
      <c r="C5" s="38">
        <f>COUNTIF(Private_raw!$E$2:$E$201,"2")</f>
        <v>23</v>
      </c>
      <c r="E5" s="40" t="s">
        <v>588</v>
      </c>
      <c r="F5" s="43">
        <f>QUARTILE(Public_raw!$F$2:$F$201,2)</f>
        <v>99.5</v>
      </c>
      <c r="G5" s="43">
        <f>QUARTILE(Private_raw!$F$2:$F$201,2)</f>
        <v>70.5</v>
      </c>
    </row>
    <row r="6" spans="1:7">
      <c r="A6" s="39">
        <v>3</v>
      </c>
      <c r="B6" s="38">
        <f>COUNTIF(Public_raw!$E$2:$E$201,"3")</f>
        <v>4</v>
      </c>
      <c r="C6" s="38">
        <f>COUNTIF(Private_raw!$E$2:$E$201,"3")</f>
        <v>21</v>
      </c>
      <c r="E6" s="40" t="s">
        <v>589</v>
      </c>
      <c r="F6" s="43">
        <f>QUARTILE(Public_raw!$F$2:$F$201,3)</f>
        <v>158.25</v>
      </c>
      <c r="G6" s="43">
        <f>QUARTILE(Private_raw!$F$2:$F$201,3)</f>
        <v>119.5</v>
      </c>
    </row>
    <row r="7" spans="1:7">
      <c r="A7" s="39">
        <v>4</v>
      </c>
      <c r="B7" s="38">
        <f>COUNTIF(Public_raw!$E$2:$E$201,"4")</f>
        <v>1</v>
      </c>
      <c r="C7" s="38">
        <f>COUNTIF(Private_raw!$E$2:$E$201,"4")</f>
        <v>0</v>
      </c>
      <c r="E7" s="40" t="s">
        <v>590</v>
      </c>
      <c r="F7" s="43">
        <f>MAX(Public_raw!$F$2:$F$201)</f>
        <v>784</v>
      </c>
      <c r="G7" s="43">
        <f>MAX(Private_raw!$F$2:$F$201)</f>
        <v>440</v>
      </c>
    </row>
    <row r="8" spans="1:7">
      <c r="A8" s="39">
        <v>5</v>
      </c>
      <c r="B8" s="38">
        <f>COUNTIF(Public_raw!$E$2:$E$201,"5")</f>
        <v>0</v>
      </c>
      <c r="C8" s="38">
        <f>COUNTIF(Private_raw!$E$2:$E$201,"5")</f>
        <v>2</v>
      </c>
      <c r="E8" s="40" t="s">
        <v>591</v>
      </c>
      <c r="F8" s="43">
        <f>AVERAGE(Public_raw!$F$2:$F$201)</f>
        <v>131.56</v>
      </c>
      <c r="G8" s="43">
        <f>AVERAGE(Private_raw!$F$2:$F$201)</f>
        <v>94.465000000000003</v>
      </c>
    </row>
    <row r="9" spans="1:7">
      <c r="A9" s="39">
        <v>6</v>
      </c>
      <c r="B9" s="38">
        <f>COUNTIF(Public_raw!$E$2:$E$201,"6")</f>
        <v>0</v>
      </c>
      <c r="C9" s="38">
        <f>COUNTIF(Private_raw!$E$2:$E$201,"6")</f>
        <v>0</v>
      </c>
      <c r="E9" s="40" t="s">
        <v>592</v>
      </c>
      <c r="F9" s="43">
        <f>COUNTIF(Public_raw!$F$2:$F$201,"&gt;300")</f>
        <v>13</v>
      </c>
      <c r="G9" s="43">
        <f>COUNTIF(Private_raw!$F$2:$F$201,"&gt;300")</f>
        <v>3</v>
      </c>
    </row>
    <row r="10" spans="1:7">
      <c r="A10" s="39">
        <v>7</v>
      </c>
      <c r="B10" s="38">
        <f>COUNTIF(Public_raw!$E$2:$E$201,"7")</f>
        <v>0</v>
      </c>
      <c r="C10" s="38">
        <f>COUNTIF(Private_raw!$E$2:$E$201,"7")</f>
        <v>5</v>
      </c>
    </row>
    <row r="11" spans="1:7">
      <c r="A11" s="39">
        <v>8</v>
      </c>
      <c r="B11" s="38">
        <f>COUNTIF(Public_raw!$E$2:$E$201,"8")</f>
        <v>0</v>
      </c>
      <c r="C11" s="38">
        <f>COUNTIF(Private_raw!$E$2:$E$201,"8")</f>
        <v>3</v>
      </c>
    </row>
    <row r="12" spans="1:7">
      <c r="A12" s="39">
        <v>9</v>
      </c>
      <c r="B12" s="38">
        <f>COUNTIF(Public_raw!$E$2:$E$201,"9")</f>
        <v>0</v>
      </c>
      <c r="C12" s="38">
        <f>COUNTIF(Private_raw!$E$2:$E$201,"9")</f>
        <v>1</v>
      </c>
    </row>
    <row r="13" spans="1:7">
      <c r="A13" s="39" t="s">
        <v>436</v>
      </c>
      <c r="B13" s="38">
        <f>SUM(B3:B12)</f>
        <v>200</v>
      </c>
      <c r="C13" s="38">
        <f>SUM(C3:C12)</f>
        <v>200</v>
      </c>
    </row>
  </sheetData>
  <mergeCells count="2">
    <mergeCell ref="A1:C1"/>
    <mergeCell ref="E1:G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CEFE6-EC12-45E8-B60F-B0B13B18F494}">
  <sheetPr codeName="Sheet4"/>
  <dimension ref="A1:C51"/>
  <sheetViews>
    <sheetView workbookViewId="0">
      <selection sqref="A1:XFD1048576"/>
    </sheetView>
  </sheetViews>
  <sheetFormatPr defaultColWidth="9.109375" defaultRowHeight="13.8"/>
  <cols>
    <col min="1" max="1" width="150.5546875" style="21" customWidth="1"/>
    <col min="2" max="2" width="15.5546875" style="21" customWidth="1"/>
    <col min="3" max="16384" width="9.109375" style="19"/>
  </cols>
  <sheetData>
    <row r="1" spans="1:3" s="16" customFormat="1">
      <c r="A1" s="15" t="s">
        <v>421</v>
      </c>
      <c r="B1" s="15" t="s">
        <v>423</v>
      </c>
      <c r="C1" s="16" t="s">
        <v>424</v>
      </c>
    </row>
    <row r="2" spans="1:3" ht="27.6">
      <c r="A2" s="17" t="s">
        <v>414</v>
      </c>
      <c r="B2" s="18" t="s">
        <v>415</v>
      </c>
      <c r="C2" s="19" t="s">
        <v>425</v>
      </c>
    </row>
    <row r="3" spans="1:3" ht="124.2">
      <c r="A3" s="17" t="s">
        <v>368</v>
      </c>
      <c r="B3" s="18" t="s">
        <v>63</v>
      </c>
      <c r="C3" s="19" t="s">
        <v>425</v>
      </c>
    </row>
    <row r="4" spans="1:3" ht="69">
      <c r="A4" s="17" t="s">
        <v>369</v>
      </c>
      <c r="B4" s="18" t="s">
        <v>370</v>
      </c>
      <c r="C4" s="19" t="s">
        <v>425</v>
      </c>
    </row>
    <row r="5" spans="1:3" ht="96.6">
      <c r="A5" s="17" t="s">
        <v>371</v>
      </c>
      <c r="B5" s="18" t="s">
        <v>63</v>
      </c>
      <c r="C5" s="19" t="s">
        <v>425</v>
      </c>
    </row>
    <row r="6" spans="1:3" ht="27.6">
      <c r="A6" s="17" t="s">
        <v>372</v>
      </c>
      <c r="B6" s="18" t="s">
        <v>63</v>
      </c>
      <c r="C6" s="19" t="s">
        <v>425</v>
      </c>
    </row>
    <row r="7" spans="1:3" ht="69">
      <c r="A7" s="17" t="s">
        <v>373</v>
      </c>
      <c r="B7" s="18" t="s">
        <v>54</v>
      </c>
      <c r="C7" s="19" t="s">
        <v>425</v>
      </c>
    </row>
    <row r="8" spans="1:3" ht="124.2">
      <c r="A8" s="17" t="s">
        <v>385</v>
      </c>
      <c r="B8" s="18" t="s">
        <v>50</v>
      </c>
      <c r="C8" s="19" t="s">
        <v>425</v>
      </c>
    </row>
    <row r="9" spans="1:3" ht="82.8">
      <c r="A9" s="17" t="s">
        <v>375</v>
      </c>
      <c r="B9" s="18" t="s">
        <v>60</v>
      </c>
      <c r="C9" s="19" t="s">
        <v>425</v>
      </c>
    </row>
    <row r="10" spans="1:3">
      <c r="A10" s="17" t="s">
        <v>376</v>
      </c>
      <c r="B10" s="18" t="s">
        <v>63</v>
      </c>
      <c r="C10" s="19" t="s">
        <v>425</v>
      </c>
    </row>
    <row r="11" spans="1:3" ht="27.6">
      <c r="A11" s="17" t="s">
        <v>377</v>
      </c>
      <c r="B11" s="18" t="s">
        <v>378</v>
      </c>
      <c r="C11" s="19" t="s">
        <v>425</v>
      </c>
    </row>
    <row r="12" spans="1:3" ht="27.6">
      <c r="A12" s="17" t="s">
        <v>403</v>
      </c>
      <c r="B12" s="18" t="s">
        <v>50</v>
      </c>
      <c r="C12" s="19" t="s">
        <v>425</v>
      </c>
    </row>
    <row r="13" spans="1:3" ht="82.8">
      <c r="A13" s="17" t="s">
        <v>382</v>
      </c>
      <c r="B13" s="18" t="s">
        <v>52</v>
      </c>
      <c r="C13" s="19" t="s">
        <v>425</v>
      </c>
    </row>
    <row r="14" spans="1:3" ht="41.4">
      <c r="A14" s="17" t="s">
        <v>381</v>
      </c>
      <c r="B14" s="18" t="s">
        <v>49</v>
      </c>
      <c r="C14" s="19" t="s">
        <v>425</v>
      </c>
    </row>
    <row r="15" spans="1:3" ht="27.6">
      <c r="A15" s="17" t="s">
        <v>386</v>
      </c>
      <c r="B15" s="18" t="s">
        <v>56</v>
      </c>
      <c r="C15" s="19" t="s">
        <v>425</v>
      </c>
    </row>
    <row r="16" spans="1:3">
      <c r="A16" s="17" t="s">
        <v>387</v>
      </c>
      <c r="B16" s="18" t="s">
        <v>56</v>
      </c>
      <c r="C16" s="19" t="s">
        <v>425</v>
      </c>
    </row>
    <row r="17" spans="1:3" ht="41.4">
      <c r="A17" s="17" t="s">
        <v>384</v>
      </c>
      <c r="B17" s="18" t="s">
        <v>54</v>
      </c>
      <c r="C17" s="19" t="s">
        <v>425</v>
      </c>
    </row>
    <row r="18" spans="1:3" ht="41.4">
      <c r="A18" s="17" t="s">
        <v>379</v>
      </c>
      <c r="B18" s="18" t="s">
        <v>61</v>
      </c>
      <c r="C18" s="19" t="s">
        <v>425</v>
      </c>
    </row>
    <row r="19" spans="1:3" ht="41.4">
      <c r="A19" s="17" t="s">
        <v>380</v>
      </c>
      <c r="B19" s="18" t="s">
        <v>61</v>
      </c>
      <c r="C19" s="19" t="s">
        <v>425</v>
      </c>
    </row>
    <row r="20" spans="1:3" ht="27.6">
      <c r="A20" s="17" t="s">
        <v>374</v>
      </c>
      <c r="B20" s="18" t="s">
        <v>55</v>
      </c>
      <c r="C20" s="19" t="s">
        <v>425</v>
      </c>
    </row>
    <row r="21" spans="1:3" ht="69">
      <c r="A21" s="17" t="s">
        <v>388</v>
      </c>
      <c r="B21" s="18" t="s">
        <v>389</v>
      </c>
      <c r="C21" s="19" t="s">
        <v>425</v>
      </c>
    </row>
    <row r="22" spans="1:3">
      <c r="A22" s="17" t="s">
        <v>399</v>
      </c>
      <c r="B22" s="18" t="s">
        <v>55</v>
      </c>
      <c r="C22" s="19" t="s">
        <v>425</v>
      </c>
    </row>
    <row r="23" spans="1:3">
      <c r="A23" s="17" t="s">
        <v>391</v>
      </c>
      <c r="B23" s="18" t="s">
        <v>59</v>
      </c>
      <c r="C23" s="19" t="s">
        <v>425</v>
      </c>
    </row>
    <row r="24" spans="1:3" ht="41.4">
      <c r="A24" s="17" t="s">
        <v>367</v>
      </c>
      <c r="B24" s="18" t="s">
        <v>62</v>
      </c>
      <c r="C24" s="19" t="s">
        <v>425</v>
      </c>
    </row>
    <row r="25" spans="1:3" ht="27.6">
      <c r="A25" s="17" t="s">
        <v>393</v>
      </c>
      <c r="B25" s="18" t="s">
        <v>49</v>
      </c>
      <c r="C25" s="19" t="s">
        <v>425</v>
      </c>
    </row>
    <row r="26" spans="1:3" ht="41.4">
      <c r="A26" s="17" t="s">
        <v>394</v>
      </c>
      <c r="B26" s="18" t="s">
        <v>49</v>
      </c>
      <c r="C26" s="19" t="s">
        <v>425</v>
      </c>
    </row>
    <row r="27" spans="1:3">
      <c r="A27" s="17" t="s">
        <v>392</v>
      </c>
      <c r="B27" s="18" t="s">
        <v>62</v>
      </c>
      <c r="C27" s="19" t="s">
        <v>425</v>
      </c>
    </row>
    <row r="28" spans="1:3" ht="358.8">
      <c r="A28" s="17" t="s">
        <v>396</v>
      </c>
      <c r="B28" s="18" t="s">
        <v>49</v>
      </c>
      <c r="C28" s="19" t="s">
        <v>425</v>
      </c>
    </row>
    <row r="29" spans="1:3" ht="124.2">
      <c r="A29" s="17" t="s">
        <v>395</v>
      </c>
      <c r="B29" s="18" t="s">
        <v>51</v>
      </c>
      <c r="C29" s="19" t="s">
        <v>425</v>
      </c>
    </row>
    <row r="30" spans="1:3" ht="207">
      <c r="A30" s="17" t="s">
        <v>397</v>
      </c>
      <c r="B30" s="18" t="s">
        <v>51</v>
      </c>
      <c r="C30" s="19" t="s">
        <v>425</v>
      </c>
    </row>
    <row r="31" spans="1:3" ht="27.6">
      <c r="A31" s="17" t="s">
        <v>407</v>
      </c>
      <c r="B31" s="18" t="s">
        <v>51</v>
      </c>
      <c r="C31" s="19" t="s">
        <v>425</v>
      </c>
    </row>
    <row r="32" spans="1:3" ht="55.2">
      <c r="A32" s="17" t="s">
        <v>400</v>
      </c>
      <c r="B32" s="18" t="s">
        <v>49</v>
      </c>
      <c r="C32" s="19" t="s">
        <v>425</v>
      </c>
    </row>
    <row r="33" spans="1:3" ht="69">
      <c r="A33" s="17" t="s">
        <v>401</v>
      </c>
      <c r="B33" s="18" t="s">
        <v>49</v>
      </c>
      <c r="C33" s="19" t="s">
        <v>425</v>
      </c>
    </row>
    <row r="34" spans="1:3" ht="27.6">
      <c r="A34" s="17" t="s">
        <v>402</v>
      </c>
      <c r="B34" s="18" t="s">
        <v>49</v>
      </c>
      <c r="C34" s="19" t="s">
        <v>425</v>
      </c>
    </row>
    <row r="35" spans="1:3" ht="41.4">
      <c r="A35" s="17" t="s">
        <v>383</v>
      </c>
      <c r="B35" s="18" t="s">
        <v>53</v>
      </c>
      <c r="C35" s="19" t="s">
        <v>425</v>
      </c>
    </row>
    <row r="36" spans="1:3" ht="82.8">
      <c r="A36" s="17" t="s">
        <v>404</v>
      </c>
      <c r="B36" s="18" t="s">
        <v>60</v>
      </c>
      <c r="C36" s="19" t="s">
        <v>425</v>
      </c>
    </row>
    <row r="37" spans="1:3" ht="151.80000000000001">
      <c r="A37" s="17" t="s">
        <v>405</v>
      </c>
      <c r="B37" s="18" t="s">
        <v>49</v>
      </c>
      <c r="C37" s="19" t="s">
        <v>425</v>
      </c>
    </row>
    <row r="38" spans="1:3" ht="151.80000000000001">
      <c r="A38" s="17" t="s">
        <v>406</v>
      </c>
      <c r="B38" s="18" t="s">
        <v>378</v>
      </c>
      <c r="C38" s="19" t="s">
        <v>425</v>
      </c>
    </row>
    <row r="39" spans="1:3" ht="69">
      <c r="A39" s="17" t="s">
        <v>390</v>
      </c>
      <c r="B39" s="18" t="s">
        <v>53</v>
      </c>
      <c r="C39" s="19" t="s">
        <v>425</v>
      </c>
    </row>
    <row r="40" spans="1:3" ht="55.2">
      <c r="A40" s="17" t="s">
        <v>408</v>
      </c>
      <c r="B40" s="18" t="s">
        <v>49</v>
      </c>
      <c r="C40" s="19" t="s">
        <v>425</v>
      </c>
    </row>
    <row r="41" spans="1:3" ht="193.2">
      <c r="A41" s="17" t="s">
        <v>409</v>
      </c>
      <c r="B41" s="18" t="s">
        <v>49</v>
      </c>
      <c r="C41" s="19" t="s">
        <v>425</v>
      </c>
    </row>
    <row r="42" spans="1:3" ht="55.2">
      <c r="A42" s="17" t="s">
        <v>410</v>
      </c>
      <c r="B42" s="18" t="s">
        <v>49</v>
      </c>
      <c r="C42" s="19" t="s">
        <v>425</v>
      </c>
    </row>
    <row r="43" spans="1:3" ht="27.6">
      <c r="A43" s="17" t="s">
        <v>411</v>
      </c>
      <c r="B43" s="18" t="s">
        <v>49</v>
      </c>
      <c r="C43" s="19" t="s">
        <v>425</v>
      </c>
    </row>
    <row r="44" spans="1:3" ht="248.4">
      <c r="A44" s="17" t="s">
        <v>412</v>
      </c>
      <c r="B44" s="18" t="s">
        <v>378</v>
      </c>
      <c r="C44" s="19" t="s">
        <v>425</v>
      </c>
    </row>
    <row r="45" spans="1:3" ht="41.4">
      <c r="A45" s="17" t="s">
        <v>413</v>
      </c>
      <c r="B45" s="18" t="s">
        <v>49</v>
      </c>
      <c r="C45" s="19" t="s">
        <v>425</v>
      </c>
    </row>
    <row r="46" spans="1:3" ht="27.6">
      <c r="A46" s="17" t="s">
        <v>398</v>
      </c>
      <c r="B46" s="18" t="s">
        <v>53</v>
      </c>
      <c r="C46" s="19" t="s">
        <v>425</v>
      </c>
    </row>
    <row r="47" spans="1:3" ht="110.4">
      <c r="A47" s="17" t="s">
        <v>416</v>
      </c>
      <c r="B47" s="18" t="s">
        <v>49</v>
      </c>
      <c r="C47" s="19" t="s">
        <v>425</v>
      </c>
    </row>
    <row r="48" spans="1:3" ht="69">
      <c r="A48" s="17" t="s">
        <v>417</v>
      </c>
      <c r="B48" s="18" t="s">
        <v>49</v>
      </c>
      <c r="C48" s="19" t="s">
        <v>425</v>
      </c>
    </row>
    <row r="49" spans="1:3" ht="96.6">
      <c r="A49" s="17" t="s">
        <v>418</v>
      </c>
      <c r="B49" s="18" t="s">
        <v>60</v>
      </c>
      <c r="C49" s="19" t="s">
        <v>425</v>
      </c>
    </row>
    <row r="50" spans="1:3" ht="27.6">
      <c r="A50" s="17" t="s">
        <v>419</v>
      </c>
      <c r="B50" s="18" t="s">
        <v>53</v>
      </c>
      <c r="C50" s="19" t="s">
        <v>425</v>
      </c>
    </row>
    <row r="51" spans="1:3" ht="248.4">
      <c r="A51" s="17" t="s">
        <v>420</v>
      </c>
      <c r="B51" s="18" t="s">
        <v>49</v>
      </c>
      <c r="C51" s="19" t="s">
        <v>425</v>
      </c>
    </row>
  </sheetData>
  <autoFilter ref="A1:C51" xr:uid="{757CEFE6-EC12-45E8-B60F-B0B13B18F494}">
    <sortState xmlns:xlrd2="http://schemas.microsoft.com/office/spreadsheetml/2017/richdata2" ref="A2:C50">
      <sortCondition descending="1" ref="B1:B51"/>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608A2-6B5F-43A1-898A-2566D747FADE}">
  <sheetPr codeName="Sheet5"/>
  <dimension ref="A1:C51"/>
  <sheetViews>
    <sheetView workbookViewId="0">
      <selection sqref="A1:XFD1048576"/>
    </sheetView>
  </sheetViews>
  <sheetFormatPr defaultColWidth="9.109375" defaultRowHeight="14.4"/>
  <cols>
    <col min="1" max="1" width="150.5546875" style="3" customWidth="1"/>
    <col min="2" max="2" width="15.5546875" style="4" customWidth="1"/>
    <col min="3" max="3" width="9.109375" style="5"/>
    <col min="4" max="16384" width="9.109375" style="3"/>
  </cols>
  <sheetData>
    <row r="1" spans="1:3" s="14" customFormat="1" ht="13.8">
      <c r="A1" s="13" t="s">
        <v>421</v>
      </c>
      <c r="B1" s="13" t="s">
        <v>423</v>
      </c>
      <c r="C1" s="14" t="s">
        <v>424</v>
      </c>
    </row>
    <row r="2" spans="1:3" s="22" customFormat="1" ht="220.8">
      <c r="A2" s="20" t="s">
        <v>0</v>
      </c>
      <c r="B2" s="20" t="s">
        <v>62</v>
      </c>
      <c r="C2" s="21" t="s">
        <v>426</v>
      </c>
    </row>
    <row r="3" spans="1:3" s="22" customFormat="1" ht="55.2">
      <c r="A3" s="20" t="s">
        <v>1</v>
      </c>
      <c r="B3" s="20" t="s">
        <v>66</v>
      </c>
      <c r="C3" s="21" t="s">
        <v>426</v>
      </c>
    </row>
    <row r="4" spans="1:3" s="22" customFormat="1" ht="220.8">
      <c r="A4" s="20" t="s">
        <v>6</v>
      </c>
      <c r="B4" s="20" t="s">
        <v>63</v>
      </c>
      <c r="C4" s="21" t="s">
        <v>426</v>
      </c>
    </row>
    <row r="5" spans="1:3" s="22" customFormat="1" ht="124.2">
      <c r="A5" s="20" t="s">
        <v>2</v>
      </c>
      <c r="B5" s="20" t="s">
        <v>58</v>
      </c>
      <c r="C5" s="21" t="s">
        <v>426</v>
      </c>
    </row>
    <row r="6" spans="1:3" s="22" customFormat="1" ht="55.2">
      <c r="A6" s="20" t="s">
        <v>3</v>
      </c>
      <c r="B6" s="20" t="s">
        <v>62</v>
      </c>
      <c r="C6" s="21" t="s">
        <v>426</v>
      </c>
    </row>
    <row r="7" spans="1:3" s="22" customFormat="1" ht="55.2">
      <c r="A7" s="20" t="s">
        <v>4</v>
      </c>
      <c r="B7" s="20" t="s">
        <v>56</v>
      </c>
      <c r="C7" s="21" t="s">
        <v>426</v>
      </c>
    </row>
    <row r="8" spans="1:3" s="22" customFormat="1" ht="151.80000000000001">
      <c r="A8" s="20" t="s">
        <v>5</v>
      </c>
      <c r="B8" s="20" t="s">
        <v>65</v>
      </c>
      <c r="C8" s="21" t="s">
        <v>426</v>
      </c>
    </row>
    <row r="9" spans="1:3" s="22" customFormat="1" ht="41.4">
      <c r="A9" s="20" t="s">
        <v>7</v>
      </c>
      <c r="B9" s="20" t="s">
        <v>62</v>
      </c>
      <c r="C9" s="21" t="s">
        <v>426</v>
      </c>
    </row>
    <row r="10" spans="1:3" s="22" customFormat="1" ht="69">
      <c r="A10" s="20" t="s">
        <v>8</v>
      </c>
      <c r="B10" s="20" t="s">
        <v>62</v>
      </c>
      <c r="C10" s="21" t="s">
        <v>426</v>
      </c>
    </row>
    <row r="11" spans="1:3" s="22" customFormat="1" ht="41.4">
      <c r="A11" s="20" t="s">
        <v>9</v>
      </c>
      <c r="B11" s="20" t="s">
        <v>63</v>
      </c>
      <c r="C11" s="21" t="s">
        <v>426</v>
      </c>
    </row>
    <row r="12" spans="1:3" s="22" customFormat="1" ht="289.8">
      <c r="A12" s="20" t="s">
        <v>10</v>
      </c>
      <c r="B12" s="20" t="s">
        <v>58</v>
      </c>
      <c r="C12" s="21" t="s">
        <v>426</v>
      </c>
    </row>
    <row r="13" spans="1:3" s="22" customFormat="1" ht="82.8">
      <c r="A13" s="20" t="s">
        <v>64</v>
      </c>
      <c r="B13" s="20" t="s">
        <v>61</v>
      </c>
      <c r="C13" s="21" t="s">
        <v>426</v>
      </c>
    </row>
    <row r="14" spans="1:3" s="22" customFormat="1" ht="55.2">
      <c r="A14" s="20" t="s">
        <v>11</v>
      </c>
      <c r="B14" s="20" t="s">
        <v>58</v>
      </c>
      <c r="C14" s="21" t="s">
        <v>426</v>
      </c>
    </row>
    <row r="15" spans="1:3" s="22" customFormat="1" ht="55.2">
      <c r="A15" s="20" t="s">
        <v>12</v>
      </c>
      <c r="B15" s="20" t="s">
        <v>62</v>
      </c>
      <c r="C15" s="21" t="s">
        <v>426</v>
      </c>
    </row>
    <row r="16" spans="1:3" s="22" customFormat="1" ht="82.8">
      <c r="A16" s="20" t="s">
        <v>13</v>
      </c>
      <c r="B16" s="20" t="s">
        <v>61</v>
      </c>
      <c r="C16" s="21" t="s">
        <v>426</v>
      </c>
    </row>
    <row r="17" spans="1:3" s="22" customFormat="1" ht="82.8">
      <c r="A17" s="20" t="s">
        <v>14</v>
      </c>
      <c r="B17" s="20" t="s">
        <v>61</v>
      </c>
      <c r="C17" s="21" t="s">
        <v>426</v>
      </c>
    </row>
    <row r="18" spans="1:3" s="22" customFormat="1" ht="55.2">
      <c r="A18" s="20" t="s">
        <v>15</v>
      </c>
      <c r="B18" s="20" t="s">
        <v>55</v>
      </c>
      <c r="C18" s="21" t="s">
        <v>426</v>
      </c>
    </row>
    <row r="19" spans="1:3" s="22" customFormat="1" ht="27.6">
      <c r="A19" s="20" t="s">
        <v>16</v>
      </c>
      <c r="B19" s="20" t="s">
        <v>55</v>
      </c>
      <c r="C19" s="21" t="s">
        <v>426</v>
      </c>
    </row>
    <row r="20" spans="1:3" s="22" customFormat="1" ht="82.8">
      <c r="A20" s="20" t="s">
        <v>17</v>
      </c>
      <c r="B20" s="20" t="s">
        <v>61</v>
      </c>
      <c r="C20" s="21" t="s">
        <v>426</v>
      </c>
    </row>
    <row r="21" spans="1:3" s="22" customFormat="1" ht="55.2">
      <c r="A21" s="20" t="s">
        <v>18</v>
      </c>
      <c r="B21" s="20" t="s">
        <v>49</v>
      </c>
      <c r="C21" s="21" t="s">
        <v>426</v>
      </c>
    </row>
    <row r="22" spans="1:3" s="22" customFormat="1" ht="165.6">
      <c r="A22" s="20" t="s">
        <v>19</v>
      </c>
      <c r="B22" s="20" t="s">
        <v>60</v>
      </c>
      <c r="C22" s="21" t="s">
        <v>426</v>
      </c>
    </row>
    <row r="23" spans="1:3" s="22" customFormat="1" ht="41.4">
      <c r="A23" s="20" t="s">
        <v>20</v>
      </c>
      <c r="B23" s="20" t="s">
        <v>50</v>
      </c>
      <c r="C23" s="21" t="s">
        <v>426</v>
      </c>
    </row>
    <row r="24" spans="1:3" s="22" customFormat="1" ht="69">
      <c r="A24" s="20" t="s">
        <v>21</v>
      </c>
      <c r="B24" s="20" t="s">
        <v>49</v>
      </c>
      <c r="C24" s="21" t="s">
        <v>426</v>
      </c>
    </row>
    <row r="25" spans="1:3" s="22" customFormat="1" ht="41.4">
      <c r="A25" s="20" t="s">
        <v>22</v>
      </c>
      <c r="B25" s="20" t="s">
        <v>51</v>
      </c>
      <c r="C25" s="21" t="s">
        <v>426</v>
      </c>
    </row>
    <row r="26" spans="1:3" s="22" customFormat="1">
      <c r="A26" s="20" t="s">
        <v>23</v>
      </c>
      <c r="B26" s="20" t="s">
        <v>59</v>
      </c>
      <c r="C26" s="21" t="s">
        <v>426</v>
      </c>
    </row>
    <row r="27" spans="1:3" s="22" customFormat="1" ht="27.6">
      <c r="A27" s="20" t="s">
        <v>24</v>
      </c>
      <c r="B27" s="20" t="s">
        <v>58</v>
      </c>
      <c r="C27" s="21" t="s">
        <v>426</v>
      </c>
    </row>
    <row r="28" spans="1:3" s="22" customFormat="1" ht="96.6">
      <c r="A28" s="20" t="s">
        <v>25</v>
      </c>
      <c r="B28" s="20" t="s">
        <v>56</v>
      </c>
      <c r="C28" s="21" t="s">
        <v>426</v>
      </c>
    </row>
    <row r="29" spans="1:3" s="22" customFormat="1" ht="55.2">
      <c r="A29" s="20" t="s">
        <v>26</v>
      </c>
      <c r="B29" s="20" t="s">
        <v>57</v>
      </c>
      <c r="C29" s="21" t="s">
        <v>426</v>
      </c>
    </row>
    <row r="30" spans="1:3" s="22" customFormat="1" ht="124.2">
      <c r="A30" s="20" t="s">
        <v>27</v>
      </c>
      <c r="B30" s="20" t="s">
        <v>56</v>
      </c>
      <c r="C30" s="21" t="s">
        <v>426</v>
      </c>
    </row>
    <row r="31" spans="1:3" s="22" customFormat="1">
      <c r="A31" s="20" t="s">
        <v>28</v>
      </c>
      <c r="B31" s="20" t="s">
        <v>49</v>
      </c>
      <c r="C31" s="21" t="s">
        <v>426</v>
      </c>
    </row>
    <row r="32" spans="1:3" s="22" customFormat="1">
      <c r="A32" s="20" t="s">
        <v>29</v>
      </c>
      <c r="B32" s="20" t="s">
        <v>55</v>
      </c>
      <c r="C32" s="21" t="s">
        <v>426</v>
      </c>
    </row>
    <row r="33" spans="1:3" s="22" customFormat="1" ht="82.8">
      <c r="A33" s="20" t="s">
        <v>30</v>
      </c>
      <c r="B33" s="20" t="s">
        <v>53</v>
      </c>
      <c r="C33" s="21" t="s">
        <v>426</v>
      </c>
    </row>
    <row r="34" spans="1:3" s="22" customFormat="1" ht="41.4">
      <c r="A34" s="20" t="s">
        <v>31</v>
      </c>
      <c r="B34" s="20" t="s">
        <v>49</v>
      </c>
      <c r="C34" s="21" t="s">
        <v>426</v>
      </c>
    </row>
    <row r="35" spans="1:3" s="22" customFormat="1" ht="27.6">
      <c r="A35" s="20" t="s">
        <v>32</v>
      </c>
      <c r="B35" s="20" t="s">
        <v>54</v>
      </c>
      <c r="C35" s="21" t="s">
        <v>426</v>
      </c>
    </row>
    <row r="36" spans="1:3" s="22" customFormat="1" ht="27.6">
      <c r="A36" s="20" t="s">
        <v>33</v>
      </c>
      <c r="B36" s="20" t="s">
        <v>52</v>
      </c>
      <c r="C36" s="21" t="s">
        <v>426</v>
      </c>
    </row>
    <row r="37" spans="1:3" s="22" customFormat="1" ht="124.2">
      <c r="A37" s="20" t="s">
        <v>34</v>
      </c>
      <c r="B37" s="20" t="s">
        <v>52</v>
      </c>
      <c r="C37" s="21" t="s">
        <v>426</v>
      </c>
    </row>
    <row r="38" spans="1:3" s="22" customFormat="1" ht="55.2">
      <c r="A38" s="20" t="s">
        <v>35</v>
      </c>
      <c r="B38" s="20" t="s">
        <v>50</v>
      </c>
      <c r="C38" s="21" t="s">
        <v>426</v>
      </c>
    </row>
    <row r="39" spans="1:3" s="22" customFormat="1" ht="41.4">
      <c r="A39" s="20" t="s">
        <v>36</v>
      </c>
      <c r="B39" s="20" t="s">
        <v>50</v>
      </c>
      <c r="C39" s="21" t="s">
        <v>426</v>
      </c>
    </row>
    <row r="40" spans="1:3" s="22" customFormat="1" ht="55.2">
      <c r="A40" s="20" t="s">
        <v>37</v>
      </c>
      <c r="B40" s="20" t="s">
        <v>49</v>
      </c>
      <c r="C40" s="21" t="s">
        <v>426</v>
      </c>
    </row>
    <row r="41" spans="1:3" s="22" customFormat="1" ht="55.2">
      <c r="A41" s="20" t="s">
        <v>38</v>
      </c>
      <c r="B41" s="20" t="s">
        <v>50</v>
      </c>
      <c r="C41" s="21" t="s">
        <v>426</v>
      </c>
    </row>
    <row r="42" spans="1:3" s="22" customFormat="1" ht="110.4">
      <c r="A42" s="20" t="s">
        <v>39</v>
      </c>
      <c r="B42" s="20" t="s">
        <v>53</v>
      </c>
      <c r="C42" s="21" t="s">
        <v>426</v>
      </c>
    </row>
    <row r="43" spans="1:3" s="22" customFormat="1" ht="82.8">
      <c r="A43" s="20" t="s">
        <v>40</v>
      </c>
      <c r="B43" s="20" t="s">
        <v>49</v>
      </c>
      <c r="C43" s="21" t="s">
        <v>426</v>
      </c>
    </row>
    <row r="44" spans="1:3" s="22" customFormat="1" ht="96.6">
      <c r="A44" s="20" t="s">
        <v>41</v>
      </c>
      <c r="B44" s="20" t="s">
        <v>50</v>
      </c>
      <c r="C44" s="21" t="s">
        <v>426</v>
      </c>
    </row>
    <row r="45" spans="1:3" s="22" customFormat="1" ht="41.4">
      <c r="A45" s="20" t="s">
        <v>42</v>
      </c>
      <c r="B45" s="20" t="s">
        <v>53</v>
      </c>
      <c r="C45" s="21" t="s">
        <v>426</v>
      </c>
    </row>
    <row r="46" spans="1:3" s="22" customFormat="1" ht="82.8">
      <c r="A46" s="20" t="s">
        <v>43</v>
      </c>
      <c r="B46" s="20" t="s">
        <v>52</v>
      </c>
      <c r="C46" s="21" t="s">
        <v>426</v>
      </c>
    </row>
    <row r="47" spans="1:3" s="22" customFormat="1" ht="55.2">
      <c r="A47" s="20" t="s">
        <v>44</v>
      </c>
      <c r="B47" s="20" t="s">
        <v>49</v>
      </c>
      <c r="C47" s="21" t="s">
        <v>426</v>
      </c>
    </row>
    <row r="48" spans="1:3" s="22" customFormat="1" ht="27.6">
      <c r="A48" s="20" t="s">
        <v>45</v>
      </c>
      <c r="B48" s="20" t="s">
        <v>51</v>
      </c>
      <c r="C48" s="21" t="s">
        <v>426</v>
      </c>
    </row>
    <row r="49" spans="1:3" s="22" customFormat="1" ht="69">
      <c r="A49" s="20" t="s">
        <v>46</v>
      </c>
      <c r="B49" s="20" t="s">
        <v>49</v>
      </c>
      <c r="C49" s="21" t="s">
        <v>426</v>
      </c>
    </row>
    <row r="50" spans="1:3" s="22" customFormat="1" ht="27.6">
      <c r="A50" s="20" t="s">
        <v>47</v>
      </c>
      <c r="B50" s="20" t="s">
        <v>50</v>
      </c>
      <c r="C50" s="21" t="s">
        <v>426</v>
      </c>
    </row>
    <row r="51" spans="1:3" s="22" customFormat="1" ht="55.2">
      <c r="A51" s="20" t="s">
        <v>48</v>
      </c>
      <c r="B51" s="20" t="s">
        <v>49</v>
      </c>
      <c r="C51" s="21" t="s">
        <v>426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A171-7C20-460A-99BC-F297887B254D}">
  <sheetPr codeName="Sheet6"/>
  <dimension ref="A1:C51"/>
  <sheetViews>
    <sheetView workbookViewId="0">
      <selection sqref="A1:XFD1048576"/>
    </sheetView>
  </sheetViews>
  <sheetFormatPr defaultColWidth="9.109375" defaultRowHeight="13.8"/>
  <cols>
    <col min="1" max="1" width="150.5546875" style="1" customWidth="1"/>
    <col min="2" max="2" width="15.5546875" style="2" customWidth="1"/>
    <col min="3" max="16384" width="9.109375" style="5"/>
  </cols>
  <sheetData>
    <row r="1" spans="1:3" s="14" customFormat="1">
      <c r="A1" s="13" t="s">
        <v>421</v>
      </c>
      <c r="B1" s="13" t="s">
        <v>423</v>
      </c>
      <c r="C1" s="14" t="s">
        <v>424</v>
      </c>
    </row>
    <row r="2" spans="1:3" s="21" customFormat="1" ht="55.2">
      <c r="A2" s="20" t="s">
        <v>67</v>
      </c>
      <c r="B2" s="20" t="s">
        <v>62</v>
      </c>
      <c r="C2" s="21" t="s">
        <v>427</v>
      </c>
    </row>
    <row r="3" spans="1:3" s="21" customFormat="1" ht="27.6">
      <c r="A3" s="20" t="s">
        <v>68</v>
      </c>
      <c r="B3" s="20" t="s">
        <v>62</v>
      </c>
      <c r="C3" s="21" t="s">
        <v>427</v>
      </c>
    </row>
    <row r="4" spans="1:3" s="21" customFormat="1" ht="124.2">
      <c r="A4" s="20" t="s">
        <v>69</v>
      </c>
      <c r="B4" s="20" t="s">
        <v>65</v>
      </c>
      <c r="C4" s="21" t="s">
        <v>427</v>
      </c>
    </row>
    <row r="5" spans="1:3" s="21" customFormat="1" ht="124.2">
      <c r="A5" s="20" t="s">
        <v>70</v>
      </c>
      <c r="B5" s="20" t="s">
        <v>65</v>
      </c>
      <c r="C5" s="21" t="s">
        <v>427</v>
      </c>
    </row>
    <row r="6" spans="1:3" s="21" customFormat="1" ht="55.2">
      <c r="A6" s="20" t="s">
        <v>71</v>
      </c>
      <c r="B6" s="20" t="s">
        <v>63</v>
      </c>
      <c r="C6" s="21" t="s">
        <v>427</v>
      </c>
    </row>
    <row r="7" spans="1:3" s="21" customFormat="1" ht="96.6">
      <c r="A7" s="20" t="s">
        <v>72</v>
      </c>
      <c r="B7" s="20" t="s">
        <v>58</v>
      </c>
      <c r="C7" s="21" t="s">
        <v>427</v>
      </c>
    </row>
    <row r="8" spans="1:3" s="21" customFormat="1" ht="69">
      <c r="A8" s="20" t="s">
        <v>73</v>
      </c>
      <c r="B8" s="20" t="s">
        <v>59</v>
      </c>
      <c r="C8" s="21" t="s">
        <v>427</v>
      </c>
    </row>
    <row r="9" spans="1:3" s="21" customFormat="1" ht="82.8">
      <c r="A9" s="20" t="s">
        <v>74</v>
      </c>
      <c r="B9" s="20" t="s">
        <v>62</v>
      </c>
      <c r="C9" s="21" t="s">
        <v>427</v>
      </c>
    </row>
    <row r="10" spans="1:3" s="21" customFormat="1" ht="69">
      <c r="A10" s="20" t="s">
        <v>75</v>
      </c>
      <c r="B10" s="20" t="s">
        <v>63</v>
      </c>
      <c r="C10" s="21" t="s">
        <v>427</v>
      </c>
    </row>
    <row r="11" spans="1:3" s="21" customFormat="1" ht="27.6">
      <c r="A11" s="20" t="s">
        <v>76</v>
      </c>
      <c r="B11" s="20" t="s">
        <v>62</v>
      </c>
      <c r="C11" s="21" t="s">
        <v>427</v>
      </c>
    </row>
    <row r="12" spans="1:3" s="21" customFormat="1" ht="96.6">
      <c r="A12" s="20" t="s">
        <v>77</v>
      </c>
      <c r="B12" s="20" t="s">
        <v>52</v>
      </c>
      <c r="C12" s="21" t="s">
        <v>427</v>
      </c>
    </row>
    <row r="13" spans="1:3" s="21" customFormat="1" ht="69">
      <c r="A13" s="20" t="s">
        <v>78</v>
      </c>
      <c r="B13" s="20" t="s">
        <v>58</v>
      </c>
      <c r="C13" s="21" t="s">
        <v>427</v>
      </c>
    </row>
    <row r="14" spans="1:3" s="21" customFormat="1" ht="69">
      <c r="A14" s="20" t="s">
        <v>79</v>
      </c>
      <c r="B14" s="20" t="s">
        <v>59</v>
      </c>
      <c r="C14" s="21" t="s">
        <v>427</v>
      </c>
    </row>
    <row r="15" spans="1:3" s="21" customFormat="1" ht="27.6">
      <c r="A15" s="20" t="s">
        <v>80</v>
      </c>
      <c r="B15" s="20" t="s">
        <v>58</v>
      </c>
      <c r="C15" s="21" t="s">
        <v>427</v>
      </c>
    </row>
    <row r="16" spans="1:3" s="21" customFormat="1" ht="124.2">
      <c r="A16" s="20" t="s">
        <v>81</v>
      </c>
      <c r="B16" s="20" t="s">
        <v>61</v>
      </c>
      <c r="C16" s="21" t="s">
        <v>427</v>
      </c>
    </row>
    <row r="17" spans="1:3" s="21" customFormat="1" ht="69">
      <c r="A17" s="20" t="s">
        <v>82</v>
      </c>
      <c r="B17" s="20" t="s">
        <v>58</v>
      </c>
      <c r="C17" s="21" t="s">
        <v>427</v>
      </c>
    </row>
    <row r="18" spans="1:3" s="21" customFormat="1" ht="151.80000000000001">
      <c r="A18" s="20" t="s">
        <v>83</v>
      </c>
      <c r="B18" s="20" t="s">
        <v>55</v>
      </c>
      <c r="C18" s="21" t="s">
        <v>427</v>
      </c>
    </row>
    <row r="19" spans="1:3" s="21" customFormat="1" ht="41.4">
      <c r="A19" s="20" t="s">
        <v>84</v>
      </c>
      <c r="B19" s="20" t="s">
        <v>63</v>
      </c>
      <c r="C19" s="21" t="s">
        <v>427</v>
      </c>
    </row>
    <row r="20" spans="1:3" s="21" customFormat="1" ht="27.6">
      <c r="A20" s="20" t="s">
        <v>85</v>
      </c>
      <c r="B20" s="20" t="s">
        <v>62</v>
      </c>
      <c r="C20" s="21" t="s">
        <v>427</v>
      </c>
    </row>
    <row r="21" spans="1:3" s="21" customFormat="1" ht="55.2">
      <c r="A21" s="20" t="s">
        <v>86</v>
      </c>
      <c r="B21" s="20" t="s">
        <v>62</v>
      </c>
      <c r="C21" s="21" t="s">
        <v>427</v>
      </c>
    </row>
    <row r="22" spans="1:3" s="21" customFormat="1" ht="82.8">
      <c r="A22" s="20" t="s">
        <v>87</v>
      </c>
      <c r="B22" s="20" t="s">
        <v>62</v>
      </c>
      <c r="C22" s="21" t="s">
        <v>427</v>
      </c>
    </row>
    <row r="23" spans="1:3" s="21" customFormat="1" ht="27.6">
      <c r="A23" s="20" t="s">
        <v>88</v>
      </c>
      <c r="B23" s="20" t="s">
        <v>63</v>
      </c>
      <c r="C23" s="21" t="s">
        <v>427</v>
      </c>
    </row>
    <row r="24" spans="1:3" s="21" customFormat="1" ht="69">
      <c r="A24" s="20" t="s">
        <v>89</v>
      </c>
      <c r="B24" s="20" t="s">
        <v>63</v>
      </c>
      <c r="C24" s="21" t="s">
        <v>427</v>
      </c>
    </row>
    <row r="25" spans="1:3" s="21" customFormat="1" ht="82.8">
      <c r="A25" s="20" t="s">
        <v>90</v>
      </c>
      <c r="B25" s="20" t="s">
        <v>59</v>
      </c>
      <c r="C25" s="21" t="s">
        <v>427</v>
      </c>
    </row>
    <row r="26" spans="1:3" s="21" customFormat="1" ht="41.4">
      <c r="A26" s="20" t="s">
        <v>91</v>
      </c>
      <c r="B26" s="20" t="s">
        <v>61</v>
      </c>
      <c r="C26" s="21" t="s">
        <v>427</v>
      </c>
    </row>
    <row r="27" spans="1:3" s="21" customFormat="1" ht="55.2">
      <c r="A27" s="20" t="s">
        <v>92</v>
      </c>
      <c r="B27" s="20" t="s">
        <v>55</v>
      </c>
      <c r="C27" s="21" t="s">
        <v>427</v>
      </c>
    </row>
    <row r="28" spans="1:3" s="21" customFormat="1" ht="41.4">
      <c r="A28" s="20" t="s">
        <v>93</v>
      </c>
      <c r="B28" s="20" t="s">
        <v>55</v>
      </c>
      <c r="C28" s="21" t="s">
        <v>427</v>
      </c>
    </row>
    <row r="29" spans="1:3" s="21" customFormat="1" ht="27.6">
      <c r="A29" s="20" t="s">
        <v>94</v>
      </c>
      <c r="B29" s="20" t="s">
        <v>59</v>
      </c>
      <c r="C29" s="21" t="s">
        <v>427</v>
      </c>
    </row>
    <row r="30" spans="1:3" s="21" customFormat="1" ht="27.6">
      <c r="A30" s="20" t="s">
        <v>95</v>
      </c>
      <c r="B30" s="20" t="s">
        <v>58</v>
      </c>
      <c r="C30" s="21" t="s">
        <v>427</v>
      </c>
    </row>
    <row r="31" spans="1:3" s="21" customFormat="1" ht="69">
      <c r="A31" s="20" t="s">
        <v>96</v>
      </c>
      <c r="B31" s="20" t="s">
        <v>58</v>
      </c>
      <c r="C31" s="21" t="s">
        <v>427</v>
      </c>
    </row>
    <row r="32" spans="1:3" s="21" customFormat="1" ht="96.6">
      <c r="A32" s="20" t="s">
        <v>97</v>
      </c>
      <c r="B32" s="20" t="s">
        <v>60</v>
      </c>
      <c r="C32" s="21" t="s">
        <v>427</v>
      </c>
    </row>
    <row r="33" spans="1:3" s="21" customFormat="1" ht="27.6">
      <c r="A33" s="20" t="s">
        <v>98</v>
      </c>
      <c r="B33" s="20" t="s">
        <v>63</v>
      </c>
      <c r="C33" s="21" t="s">
        <v>427</v>
      </c>
    </row>
    <row r="34" spans="1:3" s="21" customFormat="1">
      <c r="A34" s="20" t="s">
        <v>99</v>
      </c>
      <c r="B34" s="20" t="s">
        <v>58</v>
      </c>
      <c r="C34" s="21" t="s">
        <v>427</v>
      </c>
    </row>
    <row r="35" spans="1:3" s="21" customFormat="1" ht="55.2">
      <c r="A35" s="20" t="s">
        <v>100</v>
      </c>
      <c r="B35" s="20" t="s">
        <v>58</v>
      </c>
      <c r="C35" s="21" t="s">
        <v>427</v>
      </c>
    </row>
    <row r="36" spans="1:3" s="21" customFormat="1" ht="27.6">
      <c r="A36" s="20" t="s">
        <v>101</v>
      </c>
      <c r="B36" s="20" t="s">
        <v>63</v>
      </c>
      <c r="C36" s="21" t="s">
        <v>427</v>
      </c>
    </row>
    <row r="37" spans="1:3" s="21" customFormat="1" ht="27.6">
      <c r="A37" s="20" t="s">
        <v>102</v>
      </c>
      <c r="B37" s="20" t="s">
        <v>63</v>
      </c>
      <c r="C37" s="21" t="s">
        <v>427</v>
      </c>
    </row>
    <row r="38" spans="1:3" s="21" customFormat="1" ht="41.4">
      <c r="A38" s="20" t="s">
        <v>103</v>
      </c>
      <c r="B38" s="20" t="s">
        <v>54</v>
      </c>
      <c r="C38" s="21" t="s">
        <v>427</v>
      </c>
    </row>
    <row r="39" spans="1:3" s="21" customFormat="1" ht="27.6">
      <c r="A39" s="20" t="s">
        <v>104</v>
      </c>
      <c r="B39" s="20" t="s">
        <v>59</v>
      </c>
      <c r="C39" s="21" t="s">
        <v>427</v>
      </c>
    </row>
    <row r="40" spans="1:3" s="21" customFormat="1" ht="27.6">
      <c r="A40" s="20" t="s">
        <v>105</v>
      </c>
      <c r="B40" s="20" t="s">
        <v>59</v>
      </c>
      <c r="C40" s="21" t="s">
        <v>427</v>
      </c>
    </row>
    <row r="41" spans="1:3" s="21" customFormat="1" ht="27.6">
      <c r="A41" s="20" t="s">
        <v>106</v>
      </c>
      <c r="B41" s="20" t="s">
        <v>58</v>
      </c>
      <c r="C41" s="21" t="s">
        <v>427</v>
      </c>
    </row>
    <row r="42" spans="1:3" s="21" customFormat="1" ht="55.2">
      <c r="A42" s="20" t="s">
        <v>107</v>
      </c>
      <c r="B42" s="20" t="s">
        <v>59</v>
      </c>
      <c r="C42" s="21" t="s">
        <v>427</v>
      </c>
    </row>
    <row r="43" spans="1:3" s="21" customFormat="1" ht="27.6">
      <c r="A43" s="20" t="s">
        <v>108</v>
      </c>
      <c r="B43" s="20" t="s">
        <v>62</v>
      </c>
      <c r="C43" s="21" t="s">
        <v>427</v>
      </c>
    </row>
    <row r="44" spans="1:3" s="21" customFormat="1" ht="27.6">
      <c r="A44" s="20" t="s">
        <v>109</v>
      </c>
      <c r="B44" s="20" t="s">
        <v>58</v>
      </c>
      <c r="C44" s="21" t="s">
        <v>427</v>
      </c>
    </row>
    <row r="45" spans="1:3" s="21" customFormat="1" ht="41.4">
      <c r="A45" s="20" t="s">
        <v>110</v>
      </c>
      <c r="B45" s="20" t="s">
        <v>61</v>
      </c>
      <c r="C45" s="21" t="s">
        <v>427</v>
      </c>
    </row>
    <row r="46" spans="1:3" s="21" customFormat="1" ht="55.2">
      <c r="A46" s="20" t="s">
        <v>111</v>
      </c>
      <c r="B46" s="20" t="s">
        <v>53</v>
      </c>
      <c r="C46" s="21" t="s">
        <v>427</v>
      </c>
    </row>
    <row r="47" spans="1:3" s="21" customFormat="1" ht="55.2">
      <c r="A47" s="20" t="s">
        <v>112</v>
      </c>
      <c r="B47" s="20" t="s">
        <v>60</v>
      </c>
      <c r="C47" s="21" t="s">
        <v>427</v>
      </c>
    </row>
    <row r="48" spans="1:3" s="21" customFormat="1">
      <c r="A48" s="20" t="s">
        <v>113</v>
      </c>
      <c r="B48" s="20" t="s">
        <v>55</v>
      </c>
      <c r="C48" s="21" t="s">
        <v>427</v>
      </c>
    </row>
    <row r="49" spans="1:3" s="21" customFormat="1" ht="55.2">
      <c r="A49" s="20" t="s">
        <v>114</v>
      </c>
      <c r="B49" s="20" t="s">
        <v>55</v>
      </c>
      <c r="C49" s="21" t="s">
        <v>427</v>
      </c>
    </row>
    <row r="50" spans="1:3" s="21" customFormat="1" ht="55.2">
      <c r="A50" s="20" t="s">
        <v>115</v>
      </c>
      <c r="B50" s="20" t="s">
        <v>56</v>
      </c>
      <c r="C50" s="21" t="s">
        <v>427</v>
      </c>
    </row>
    <row r="51" spans="1:3" s="21" customFormat="1" ht="110.4">
      <c r="A51" s="20" t="s">
        <v>116</v>
      </c>
      <c r="B51" s="20" t="s">
        <v>55</v>
      </c>
      <c r="C51" s="21" t="s">
        <v>427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6AB7F-2545-47EE-9BE5-2C07D39AD5D0}">
  <sheetPr codeName="Sheet7"/>
  <dimension ref="A1:C51"/>
  <sheetViews>
    <sheetView zoomScaleNormal="100" workbookViewId="0">
      <selection sqref="A1:XFD1048576"/>
    </sheetView>
  </sheetViews>
  <sheetFormatPr defaultColWidth="11.77734375" defaultRowHeight="13.8"/>
  <cols>
    <col min="1" max="1" width="150.5546875" style="6" customWidth="1"/>
    <col min="2" max="2" width="15.5546875" style="7" customWidth="1"/>
    <col min="3" max="16384" width="11.77734375" style="7"/>
  </cols>
  <sheetData>
    <row r="1" spans="1:3" s="14" customFormat="1">
      <c r="A1" s="13" t="s">
        <v>421</v>
      </c>
      <c r="B1" s="13" t="s">
        <v>423</v>
      </c>
      <c r="C1" s="14" t="s">
        <v>424</v>
      </c>
    </row>
    <row r="2" spans="1:3" s="24" customFormat="1" ht="82.8">
      <c r="A2" s="23" t="s">
        <v>230</v>
      </c>
      <c r="B2" s="24" t="s">
        <v>198</v>
      </c>
      <c r="C2" s="24" t="s">
        <v>428</v>
      </c>
    </row>
    <row r="3" spans="1:3" s="24" customFormat="1" ht="41.4">
      <c r="A3" s="25" t="s">
        <v>229</v>
      </c>
      <c r="B3" s="24" t="s">
        <v>179</v>
      </c>
      <c r="C3" s="24" t="s">
        <v>428</v>
      </c>
    </row>
    <row r="4" spans="1:3" s="24" customFormat="1" ht="124.2">
      <c r="A4" s="23" t="s">
        <v>228</v>
      </c>
      <c r="B4" s="24" t="s">
        <v>227</v>
      </c>
      <c r="C4" s="24" t="s">
        <v>428</v>
      </c>
    </row>
    <row r="5" spans="1:3" s="24" customFormat="1" ht="55.2">
      <c r="A5" s="25" t="s">
        <v>226</v>
      </c>
      <c r="B5" s="24" t="s">
        <v>193</v>
      </c>
      <c r="C5" s="24" t="s">
        <v>428</v>
      </c>
    </row>
    <row r="6" spans="1:3" s="24" customFormat="1" ht="41.4">
      <c r="A6" s="25" t="s">
        <v>225</v>
      </c>
      <c r="B6" s="24" t="s">
        <v>179</v>
      </c>
      <c r="C6" s="24" t="s">
        <v>428</v>
      </c>
    </row>
    <row r="7" spans="1:3" s="24" customFormat="1" ht="69">
      <c r="A7" s="25" t="s">
        <v>224</v>
      </c>
      <c r="B7" s="24" t="s">
        <v>181</v>
      </c>
      <c r="C7" s="24" t="s">
        <v>428</v>
      </c>
    </row>
    <row r="8" spans="1:3" s="24" customFormat="1" ht="96.6">
      <c r="A8" s="25" t="s">
        <v>223</v>
      </c>
      <c r="B8" s="24" t="s">
        <v>193</v>
      </c>
      <c r="C8" s="24" t="s">
        <v>428</v>
      </c>
    </row>
    <row r="9" spans="1:3" s="24" customFormat="1" ht="27.6">
      <c r="A9" s="25" t="s">
        <v>222</v>
      </c>
      <c r="B9" s="24" t="s">
        <v>193</v>
      </c>
      <c r="C9" s="24" t="s">
        <v>428</v>
      </c>
    </row>
    <row r="10" spans="1:3" s="24" customFormat="1" ht="138">
      <c r="A10" s="25" t="s">
        <v>221</v>
      </c>
      <c r="B10" s="24" t="s">
        <v>179</v>
      </c>
      <c r="C10" s="24" t="s">
        <v>428</v>
      </c>
    </row>
    <row r="11" spans="1:3" s="24" customFormat="1" ht="82.8">
      <c r="A11" s="25" t="s">
        <v>220</v>
      </c>
      <c r="B11" s="24" t="s">
        <v>193</v>
      </c>
      <c r="C11" s="24" t="s">
        <v>428</v>
      </c>
    </row>
    <row r="12" spans="1:3" s="24" customFormat="1" ht="55.2">
      <c r="A12" s="25" t="s">
        <v>219</v>
      </c>
      <c r="B12" s="24" t="s">
        <v>179</v>
      </c>
      <c r="C12" s="24" t="s">
        <v>428</v>
      </c>
    </row>
    <row r="13" spans="1:3" s="24" customFormat="1" ht="55.2">
      <c r="A13" s="25" t="s">
        <v>218</v>
      </c>
      <c r="B13" s="24" t="s">
        <v>193</v>
      </c>
      <c r="C13" s="24" t="s">
        <v>428</v>
      </c>
    </row>
    <row r="14" spans="1:3" s="24" customFormat="1" ht="41.4">
      <c r="A14" s="25" t="s">
        <v>217</v>
      </c>
      <c r="B14" s="24" t="s">
        <v>55</v>
      </c>
      <c r="C14" s="24" t="s">
        <v>428</v>
      </c>
    </row>
    <row r="15" spans="1:3" s="24" customFormat="1" ht="27.6">
      <c r="A15" s="25" t="s">
        <v>216</v>
      </c>
      <c r="B15" s="24" t="s">
        <v>55</v>
      </c>
      <c r="C15" s="24" t="s">
        <v>428</v>
      </c>
    </row>
    <row r="16" spans="1:3" s="24" customFormat="1" ht="179.4">
      <c r="A16" s="25" t="s">
        <v>215</v>
      </c>
      <c r="B16" s="24" t="s">
        <v>193</v>
      </c>
      <c r="C16" s="24" t="s">
        <v>428</v>
      </c>
    </row>
    <row r="17" spans="1:3" s="24" customFormat="1" ht="55.2">
      <c r="A17" s="25" t="s">
        <v>214</v>
      </c>
      <c r="B17" s="24" t="s">
        <v>185</v>
      </c>
      <c r="C17" s="24" t="s">
        <v>428</v>
      </c>
    </row>
    <row r="18" spans="1:3" s="24" customFormat="1" ht="82.8">
      <c r="A18" s="25" t="s">
        <v>213</v>
      </c>
      <c r="B18" s="24" t="s">
        <v>198</v>
      </c>
      <c r="C18" s="24" t="s">
        <v>428</v>
      </c>
    </row>
    <row r="19" spans="1:3" s="24" customFormat="1" ht="248.4">
      <c r="A19" s="25" t="s">
        <v>212</v>
      </c>
      <c r="B19" s="24" t="s">
        <v>58</v>
      </c>
      <c r="C19" s="24" t="s">
        <v>428</v>
      </c>
    </row>
    <row r="20" spans="1:3" s="24" customFormat="1" ht="69">
      <c r="A20" s="25" t="s">
        <v>211</v>
      </c>
      <c r="B20" s="24" t="s">
        <v>193</v>
      </c>
      <c r="C20" s="24" t="s">
        <v>428</v>
      </c>
    </row>
    <row r="21" spans="1:3" s="24" customFormat="1" ht="138">
      <c r="A21" s="25" t="s">
        <v>210</v>
      </c>
      <c r="B21" s="24" t="s">
        <v>193</v>
      </c>
      <c r="C21" s="24" t="s">
        <v>428</v>
      </c>
    </row>
    <row r="22" spans="1:3" s="24" customFormat="1" ht="55.2">
      <c r="A22" s="25" t="s">
        <v>209</v>
      </c>
      <c r="B22" s="24" t="s">
        <v>193</v>
      </c>
      <c r="C22" s="24" t="s">
        <v>428</v>
      </c>
    </row>
    <row r="23" spans="1:3" s="24" customFormat="1" ht="55.2">
      <c r="A23" s="25" t="s">
        <v>208</v>
      </c>
      <c r="B23" s="24" t="s">
        <v>179</v>
      </c>
      <c r="C23" s="24" t="s">
        <v>428</v>
      </c>
    </row>
    <row r="24" spans="1:3" s="24" customFormat="1" ht="165.6">
      <c r="A24" s="25" t="s">
        <v>207</v>
      </c>
      <c r="B24" s="24" t="s">
        <v>58</v>
      </c>
      <c r="C24" s="24" t="s">
        <v>428</v>
      </c>
    </row>
    <row r="25" spans="1:3" s="24" customFormat="1" ht="110.4">
      <c r="A25" s="25" t="s">
        <v>206</v>
      </c>
      <c r="B25" s="24" t="s">
        <v>55</v>
      </c>
      <c r="C25" s="24" t="s">
        <v>428</v>
      </c>
    </row>
    <row r="26" spans="1:3" s="24" customFormat="1" ht="55.2">
      <c r="A26" s="25" t="s">
        <v>205</v>
      </c>
      <c r="B26" s="24" t="s">
        <v>193</v>
      </c>
      <c r="C26" s="24" t="s">
        <v>428</v>
      </c>
    </row>
    <row r="27" spans="1:3" s="24" customFormat="1" ht="69">
      <c r="A27" s="25" t="s">
        <v>204</v>
      </c>
      <c r="B27" s="24" t="s">
        <v>55</v>
      </c>
      <c r="C27" s="24" t="s">
        <v>428</v>
      </c>
    </row>
    <row r="28" spans="1:3" s="24" customFormat="1" ht="41.4">
      <c r="A28" s="25" t="s">
        <v>203</v>
      </c>
      <c r="B28" s="24" t="s">
        <v>193</v>
      </c>
      <c r="C28" s="24" t="s">
        <v>428</v>
      </c>
    </row>
    <row r="29" spans="1:3" s="24" customFormat="1" ht="55.2">
      <c r="A29" s="25" t="s">
        <v>202</v>
      </c>
      <c r="B29" s="24" t="s">
        <v>201</v>
      </c>
      <c r="C29" s="24" t="s">
        <v>428</v>
      </c>
    </row>
    <row r="30" spans="1:3" s="24" customFormat="1" ht="55.2">
      <c r="A30" s="25" t="s">
        <v>200</v>
      </c>
      <c r="B30" s="24" t="s">
        <v>58</v>
      </c>
      <c r="C30" s="24" t="s">
        <v>428</v>
      </c>
    </row>
    <row r="31" spans="1:3" s="24" customFormat="1" ht="69">
      <c r="A31" s="25" t="s">
        <v>199</v>
      </c>
      <c r="B31" s="24" t="s">
        <v>198</v>
      </c>
      <c r="C31" s="24" t="s">
        <v>428</v>
      </c>
    </row>
    <row r="32" spans="1:3" s="24" customFormat="1" ht="82.8">
      <c r="A32" s="26" t="s">
        <v>197</v>
      </c>
      <c r="B32" s="24" t="s">
        <v>185</v>
      </c>
      <c r="C32" s="24" t="s">
        <v>428</v>
      </c>
    </row>
    <row r="33" spans="1:3" s="24" customFormat="1" ht="82.8">
      <c r="A33" s="25" t="s">
        <v>196</v>
      </c>
      <c r="B33" s="24" t="s">
        <v>185</v>
      </c>
      <c r="C33" s="24" t="s">
        <v>428</v>
      </c>
    </row>
    <row r="34" spans="1:3" s="24" customFormat="1" ht="27.6">
      <c r="A34" s="25" t="s">
        <v>195</v>
      </c>
      <c r="B34" s="24" t="s">
        <v>58</v>
      </c>
      <c r="C34" s="24" t="s">
        <v>428</v>
      </c>
    </row>
    <row r="35" spans="1:3" s="24" customFormat="1" ht="27.6">
      <c r="A35" s="25" t="s">
        <v>194</v>
      </c>
      <c r="B35" s="24" t="s">
        <v>193</v>
      </c>
      <c r="C35" s="24" t="s">
        <v>428</v>
      </c>
    </row>
    <row r="36" spans="1:3" s="24" customFormat="1" ht="41.4">
      <c r="A36" s="25" t="s">
        <v>192</v>
      </c>
      <c r="B36" s="24" t="s">
        <v>58</v>
      </c>
      <c r="C36" s="24" t="s">
        <v>428</v>
      </c>
    </row>
    <row r="37" spans="1:3" s="24" customFormat="1" ht="110.4">
      <c r="A37" s="25" t="s">
        <v>191</v>
      </c>
      <c r="B37" s="24" t="s">
        <v>55</v>
      </c>
      <c r="C37" s="24" t="s">
        <v>428</v>
      </c>
    </row>
    <row r="38" spans="1:3" s="24" customFormat="1" ht="358.8">
      <c r="A38" s="25" t="s">
        <v>190</v>
      </c>
      <c r="B38" s="24" t="s">
        <v>55</v>
      </c>
      <c r="C38" s="24" t="s">
        <v>428</v>
      </c>
    </row>
    <row r="39" spans="1:3" s="24" customFormat="1" ht="69">
      <c r="A39" s="25" t="s">
        <v>189</v>
      </c>
      <c r="B39" s="24" t="s">
        <v>55</v>
      </c>
      <c r="C39" s="24" t="s">
        <v>428</v>
      </c>
    </row>
    <row r="40" spans="1:3" s="24" customFormat="1" ht="41.4">
      <c r="A40" s="25" t="s">
        <v>188</v>
      </c>
      <c r="B40" s="24" t="s">
        <v>187</v>
      </c>
      <c r="C40" s="24" t="s">
        <v>428</v>
      </c>
    </row>
    <row r="41" spans="1:3" s="24" customFormat="1" ht="41.4">
      <c r="A41" s="25" t="s">
        <v>186</v>
      </c>
      <c r="B41" s="24" t="s">
        <v>185</v>
      </c>
      <c r="C41" s="24" t="s">
        <v>428</v>
      </c>
    </row>
    <row r="42" spans="1:3" s="24" customFormat="1" ht="55.2">
      <c r="A42" s="25" t="s">
        <v>184</v>
      </c>
      <c r="B42" s="24" t="s">
        <v>58</v>
      </c>
      <c r="C42" s="24" t="s">
        <v>428</v>
      </c>
    </row>
    <row r="43" spans="1:3" s="24" customFormat="1" ht="82.8">
      <c r="A43" s="25" t="s">
        <v>183</v>
      </c>
      <c r="B43" s="24" t="s">
        <v>179</v>
      </c>
      <c r="C43" s="24" t="s">
        <v>428</v>
      </c>
    </row>
    <row r="44" spans="1:3" s="24" customFormat="1" ht="69">
      <c r="A44" s="25" t="s">
        <v>182</v>
      </c>
      <c r="B44" s="24" t="s">
        <v>181</v>
      </c>
      <c r="C44" s="24" t="s">
        <v>428</v>
      </c>
    </row>
    <row r="45" spans="1:3" s="24" customFormat="1" ht="27.6">
      <c r="A45" s="25" t="s">
        <v>180</v>
      </c>
      <c r="B45" s="24" t="s">
        <v>179</v>
      </c>
      <c r="C45" s="24" t="s">
        <v>428</v>
      </c>
    </row>
    <row r="46" spans="1:3" s="24" customFormat="1" ht="55.2">
      <c r="A46" s="25" t="s">
        <v>178</v>
      </c>
      <c r="B46" s="24" t="s">
        <v>55</v>
      </c>
      <c r="C46" s="24" t="s">
        <v>428</v>
      </c>
    </row>
    <row r="47" spans="1:3" s="24" customFormat="1" ht="138">
      <c r="A47" s="25" t="s">
        <v>177</v>
      </c>
      <c r="B47" s="24" t="s">
        <v>174</v>
      </c>
      <c r="C47" s="24" t="s">
        <v>428</v>
      </c>
    </row>
    <row r="48" spans="1:3" s="24" customFormat="1" ht="41.4">
      <c r="A48" s="25" t="s">
        <v>176</v>
      </c>
      <c r="B48" s="24" t="s">
        <v>50</v>
      </c>
      <c r="C48" s="24" t="s">
        <v>428</v>
      </c>
    </row>
    <row r="49" spans="1:3" s="24" customFormat="1" ht="82.8">
      <c r="A49" s="25" t="s">
        <v>175</v>
      </c>
      <c r="B49" s="24" t="s">
        <v>174</v>
      </c>
      <c r="C49" s="24" t="s">
        <v>428</v>
      </c>
    </row>
    <row r="50" spans="1:3" s="24" customFormat="1" ht="27.6">
      <c r="A50" s="25" t="s">
        <v>173</v>
      </c>
      <c r="B50" s="24" t="s">
        <v>55</v>
      </c>
      <c r="C50" s="24" t="s">
        <v>428</v>
      </c>
    </row>
    <row r="51" spans="1:3" s="24" customFormat="1" ht="55.2">
      <c r="A51" s="25" t="s">
        <v>172</v>
      </c>
      <c r="B51" s="24" t="s">
        <v>55</v>
      </c>
      <c r="C51" s="24" t="s">
        <v>428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19779-A2F2-464D-B2E5-4F67D4B2A13E}">
  <sheetPr codeName="Sheet8"/>
  <dimension ref="A1:C57"/>
  <sheetViews>
    <sheetView zoomScaleNormal="100" workbookViewId="0">
      <selection sqref="A1:XFD1048576"/>
    </sheetView>
  </sheetViews>
  <sheetFormatPr defaultColWidth="9.109375" defaultRowHeight="14.4"/>
  <cols>
    <col min="1" max="1" width="150.5546875" style="30" customWidth="1"/>
    <col min="2" max="2" width="15.5546875" style="30" customWidth="1"/>
    <col min="3" max="3" width="9.109375" style="20"/>
    <col min="4" max="16384" width="9.109375" style="30"/>
  </cols>
  <sheetData>
    <row r="1" spans="1:3" s="16" customFormat="1" ht="13.8">
      <c r="A1" s="15" t="s">
        <v>421</v>
      </c>
      <c r="B1" s="15" t="s">
        <v>423</v>
      </c>
      <c r="C1" s="16" t="s">
        <v>424</v>
      </c>
    </row>
    <row r="2" spans="1:3" ht="69">
      <c r="A2" s="20" t="s">
        <v>117</v>
      </c>
      <c r="B2" s="20" t="s">
        <v>62</v>
      </c>
      <c r="C2" s="20" t="s">
        <v>429</v>
      </c>
    </row>
    <row r="3" spans="1:3" ht="27.6">
      <c r="A3" s="20" t="s">
        <v>118</v>
      </c>
      <c r="B3" s="20" t="s">
        <v>65</v>
      </c>
      <c r="C3" s="20" t="s">
        <v>429</v>
      </c>
    </row>
    <row r="4" spans="1:3" ht="41.4">
      <c r="A4" s="20" t="s">
        <v>119</v>
      </c>
      <c r="B4" s="20" t="s">
        <v>63</v>
      </c>
      <c r="C4" s="20" t="s">
        <v>429</v>
      </c>
    </row>
    <row r="5" spans="1:3" ht="110.4">
      <c r="A5" s="20" t="s">
        <v>120</v>
      </c>
      <c r="B5" s="20" t="s">
        <v>63</v>
      </c>
      <c r="C5" s="20" t="s">
        <v>429</v>
      </c>
    </row>
    <row r="6" spans="1:3" ht="27.6">
      <c r="A6" s="20" t="s">
        <v>121</v>
      </c>
      <c r="B6" s="20" t="s">
        <v>55</v>
      </c>
      <c r="C6" s="20" t="s">
        <v>429</v>
      </c>
    </row>
    <row r="7" spans="1:3" ht="96.6">
      <c r="A7" s="20" t="s">
        <v>122</v>
      </c>
      <c r="B7" s="20" t="s">
        <v>63</v>
      </c>
      <c r="C7" s="20" t="s">
        <v>429</v>
      </c>
    </row>
    <row r="8" spans="1:3" ht="55.2">
      <c r="A8" s="20" t="s">
        <v>123</v>
      </c>
      <c r="B8" s="20" t="s">
        <v>65</v>
      </c>
      <c r="C8" s="20" t="s">
        <v>429</v>
      </c>
    </row>
    <row r="9" spans="1:3" ht="27.6">
      <c r="A9" s="20" t="s">
        <v>124</v>
      </c>
      <c r="B9" s="20" t="s">
        <v>63</v>
      </c>
      <c r="C9" s="20" t="s">
        <v>429</v>
      </c>
    </row>
    <row r="10" spans="1:3" ht="27.6">
      <c r="A10" s="20" t="s">
        <v>125</v>
      </c>
      <c r="B10" s="20" t="s">
        <v>58</v>
      </c>
      <c r="C10" s="20" t="s">
        <v>429</v>
      </c>
    </row>
    <row r="11" spans="1:3" ht="69">
      <c r="A11" s="20" t="s">
        <v>126</v>
      </c>
      <c r="B11" s="20" t="s">
        <v>49</v>
      </c>
      <c r="C11" s="20" t="s">
        <v>429</v>
      </c>
    </row>
    <row r="12" spans="1:3" ht="41.4">
      <c r="A12" s="20" t="s">
        <v>127</v>
      </c>
      <c r="B12" s="20" t="s">
        <v>55</v>
      </c>
      <c r="C12" s="20" t="s">
        <v>429</v>
      </c>
    </row>
    <row r="13" spans="1:3" ht="55.2">
      <c r="A13" s="20" t="s">
        <v>128</v>
      </c>
      <c r="B13" s="20" t="s">
        <v>59</v>
      </c>
      <c r="C13" s="20" t="s">
        <v>429</v>
      </c>
    </row>
    <row r="14" spans="1:3" ht="110.4">
      <c r="A14" s="20" t="s">
        <v>129</v>
      </c>
      <c r="B14" s="20" t="s">
        <v>54</v>
      </c>
      <c r="C14" s="20" t="s">
        <v>429</v>
      </c>
    </row>
    <row r="15" spans="1:3" ht="27.6">
      <c r="A15" s="20" t="s">
        <v>130</v>
      </c>
      <c r="B15" s="20" t="s">
        <v>131</v>
      </c>
      <c r="C15" s="20" t="s">
        <v>429</v>
      </c>
    </row>
    <row r="16" spans="1:3" ht="69">
      <c r="A16" s="20" t="s">
        <v>132</v>
      </c>
      <c r="B16" s="20" t="s">
        <v>53</v>
      </c>
      <c r="C16" s="20" t="s">
        <v>429</v>
      </c>
    </row>
    <row r="17" spans="1:3" ht="96.6">
      <c r="A17" s="20" t="s">
        <v>133</v>
      </c>
      <c r="B17" s="20" t="s">
        <v>49</v>
      </c>
      <c r="C17" s="20" t="s">
        <v>429</v>
      </c>
    </row>
    <row r="18" spans="1:3" ht="110.4">
      <c r="A18" s="20" t="s">
        <v>134</v>
      </c>
      <c r="B18" s="20" t="s">
        <v>61</v>
      </c>
      <c r="C18" s="20" t="s">
        <v>429</v>
      </c>
    </row>
    <row r="19" spans="1:3" ht="27.6">
      <c r="A19" s="20" t="s">
        <v>135</v>
      </c>
      <c r="B19" s="20" t="s">
        <v>54</v>
      </c>
      <c r="C19" s="20" t="s">
        <v>429</v>
      </c>
    </row>
    <row r="20" spans="1:3" ht="27.6">
      <c r="A20" s="20" t="s">
        <v>136</v>
      </c>
      <c r="B20" s="20" t="s">
        <v>137</v>
      </c>
      <c r="C20" s="20" t="s">
        <v>429</v>
      </c>
    </row>
    <row r="21" spans="1:3" ht="69">
      <c r="A21" s="20" t="s">
        <v>138</v>
      </c>
      <c r="B21" s="20" t="s">
        <v>60</v>
      </c>
      <c r="C21" s="20" t="s">
        <v>429</v>
      </c>
    </row>
    <row r="22" spans="1:3" ht="27.6">
      <c r="A22" s="20" t="s">
        <v>139</v>
      </c>
      <c r="B22" s="20" t="s">
        <v>140</v>
      </c>
      <c r="C22" s="20" t="s">
        <v>429</v>
      </c>
    </row>
    <row r="23" spans="1:3" ht="27.6">
      <c r="A23" s="20" t="s">
        <v>141</v>
      </c>
      <c r="B23" s="20" t="s">
        <v>63</v>
      </c>
      <c r="C23" s="20" t="s">
        <v>429</v>
      </c>
    </row>
    <row r="24" spans="1:3" ht="41.4">
      <c r="A24" s="20" t="s">
        <v>142</v>
      </c>
      <c r="B24" s="20" t="s">
        <v>49</v>
      </c>
      <c r="C24" s="20" t="s">
        <v>429</v>
      </c>
    </row>
    <row r="25" spans="1:3" ht="27.6">
      <c r="A25" s="20" t="s">
        <v>143</v>
      </c>
      <c r="B25" s="20" t="s">
        <v>62</v>
      </c>
      <c r="C25" s="20" t="s">
        <v>429</v>
      </c>
    </row>
    <row r="26" spans="1:3" ht="27.6">
      <c r="A26" s="20" t="s">
        <v>144</v>
      </c>
      <c r="B26" s="20" t="s">
        <v>56</v>
      </c>
      <c r="C26" s="20" t="s">
        <v>429</v>
      </c>
    </row>
    <row r="27" spans="1:3" ht="69">
      <c r="A27" s="20" t="s">
        <v>145</v>
      </c>
      <c r="B27" s="20" t="s">
        <v>54</v>
      </c>
      <c r="C27" s="20" t="s">
        <v>429</v>
      </c>
    </row>
    <row r="28" spans="1:3" ht="27.6">
      <c r="A28" s="20" t="s">
        <v>146</v>
      </c>
      <c r="B28" s="20" t="s">
        <v>54</v>
      </c>
      <c r="C28" s="20" t="s">
        <v>429</v>
      </c>
    </row>
    <row r="29" spans="1:3" ht="41.4">
      <c r="A29" s="20" t="s">
        <v>147</v>
      </c>
      <c r="B29" s="20" t="s">
        <v>51</v>
      </c>
      <c r="C29" s="20" t="s">
        <v>429</v>
      </c>
    </row>
    <row r="30" spans="1:3" ht="55.2">
      <c r="A30" s="20" t="s">
        <v>148</v>
      </c>
      <c r="B30" s="20" t="s">
        <v>149</v>
      </c>
      <c r="C30" s="20" t="s">
        <v>429</v>
      </c>
    </row>
    <row r="31" spans="1:3" ht="41.4">
      <c r="A31" s="20" t="s">
        <v>150</v>
      </c>
      <c r="B31" s="20" t="s">
        <v>54</v>
      </c>
      <c r="C31" s="20" t="s">
        <v>429</v>
      </c>
    </row>
    <row r="32" spans="1:3" ht="41.4">
      <c r="A32" s="20" t="s">
        <v>151</v>
      </c>
      <c r="B32" s="20" t="s">
        <v>54</v>
      </c>
      <c r="C32" s="20" t="s">
        <v>429</v>
      </c>
    </row>
    <row r="33" spans="1:3" ht="27.6">
      <c r="A33" s="20" t="s">
        <v>152</v>
      </c>
      <c r="B33" s="20" t="s">
        <v>60</v>
      </c>
      <c r="C33" s="20" t="s">
        <v>429</v>
      </c>
    </row>
    <row r="34" spans="1:3" ht="110.4">
      <c r="A34" s="20" t="s">
        <v>153</v>
      </c>
      <c r="B34" s="20" t="s">
        <v>49</v>
      </c>
      <c r="C34" s="20" t="s">
        <v>429</v>
      </c>
    </row>
    <row r="35" spans="1:3" ht="82.8">
      <c r="A35" s="20" t="s">
        <v>154</v>
      </c>
      <c r="B35" s="20" t="s">
        <v>155</v>
      </c>
      <c r="C35" s="20" t="s">
        <v>429</v>
      </c>
    </row>
    <row r="36" spans="1:3" ht="55.2">
      <c r="A36" s="20" t="s">
        <v>156</v>
      </c>
      <c r="B36" s="20" t="s">
        <v>52</v>
      </c>
      <c r="C36" s="20" t="s">
        <v>429</v>
      </c>
    </row>
    <row r="37" spans="1:3" ht="41.4">
      <c r="A37" s="20" t="s">
        <v>157</v>
      </c>
      <c r="B37" s="20" t="s">
        <v>49</v>
      </c>
      <c r="C37" s="20" t="s">
        <v>429</v>
      </c>
    </row>
    <row r="38" spans="1:3" ht="179.4">
      <c r="A38" s="20" t="s">
        <v>158</v>
      </c>
      <c r="B38" s="20" t="s">
        <v>49</v>
      </c>
      <c r="C38" s="20" t="s">
        <v>429</v>
      </c>
    </row>
    <row r="39" spans="1:3" ht="55.2">
      <c r="A39" s="20" t="s">
        <v>159</v>
      </c>
      <c r="B39" s="20" t="s">
        <v>51</v>
      </c>
      <c r="C39" s="20" t="s">
        <v>429</v>
      </c>
    </row>
    <row r="40" spans="1:3" ht="96.6">
      <c r="A40" s="20" t="s">
        <v>160</v>
      </c>
      <c r="B40" s="20" t="s">
        <v>49</v>
      </c>
      <c r="C40" s="20" t="s">
        <v>429</v>
      </c>
    </row>
    <row r="41" spans="1:3" ht="110.4">
      <c r="A41" s="20" t="s">
        <v>161</v>
      </c>
      <c r="B41" s="20" t="s">
        <v>49</v>
      </c>
      <c r="C41" s="20" t="s">
        <v>429</v>
      </c>
    </row>
    <row r="42" spans="1:3" ht="55.2">
      <c r="A42" s="20" t="s">
        <v>162</v>
      </c>
      <c r="B42" s="20" t="s">
        <v>49</v>
      </c>
      <c r="C42" s="20" t="s">
        <v>429</v>
      </c>
    </row>
    <row r="43" spans="1:3" ht="82.8">
      <c r="A43" s="20" t="s">
        <v>163</v>
      </c>
      <c r="B43" s="20" t="s">
        <v>49</v>
      </c>
      <c r="C43" s="20" t="s">
        <v>429</v>
      </c>
    </row>
    <row r="44" spans="1:3">
      <c r="A44" s="20" t="s">
        <v>164</v>
      </c>
      <c r="B44" s="20" t="s">
        <v>65</v>
      </c>
      <c r="C44" s="20" t="s">
        <v>429</v>
      </c>
    </row>
    <row r="45" spans="1:3" ht="41.4">
      <c r="A45" s="20" t="s">
        <v>165</v>
      </c>
      <c r="B45" s="20" t="s">
        <v>49</v>
      </c>
      <c r="C45" s="20" t="s">
        <v>429</v>
      </c>
    </row>
    <row r="46" spans="1:3" ht="220.8">
      <c r="A46" s="20" t="s">
        <v>166</v>
      </c>
      <c r="B46" s="20" t="s">
        <v>54</v>
      </c>
      <c r="C46" s="20" t="s">
        <v>429</v>
      </c>
    </row>
    <row r="47" spans="1:3" ht="96.6">
      <c r="A47" s="20" t="s">
        <v>167</v>
      </c>
      <c r="B47" s="20" t="s">
        <v>54</v>
      </c>
      <c r="C47" s="20" t="s">
        <v>429</v>
      </c>
    </row>
    <row r="48" spans="1:3" ht="27.6">
      <c r="A48" s="20" t="s">
        <v>168</v>
      </c>
      <c r="B48" s="20" t="s">
        <v>49</v>
      </c>
      <c r="C48" s="20" t="s">
        <v>429</v>
      </c>
    </row>
    <row r="49" spans="1:3" ht="41.4">
      <c r="A49" s="20" t="s">
        <v>169</v>
      </c>
      <c r="B49" s="20" t="s">
        <v>49</v>
      </c>
      <c r="C49" s="20" t="s">
        <v>429</v>
      </c>
    </row>
    <row r="50" spans="1:3" ht="55.2">
      <c r="A50" s="20" t="s">
        <v>170</v>
      </c>
      <c r="B50" s="20" t="s">
        <v>51</v>
      </c>
      <c r="C50" s="20" t="s">
        <v>429</v>
      </c>
    </row>
    <row r="51" spans="1:3" ht="110.4">
      <c r="A51" s="20" t="s">
        <v>171</v>
      </c>
      <c r="B51" s="20" t="s">
        <v>49</v>
      </c>
      <c r="C51" s="20" t="s">
        <v>429</v>
      </c>
    </row>
    <row r="57" spans="1:3">
      <c r="A57" s="32"/>
    </row>
  </sheetData>
  <pageMargins left="0.7" right="0.7" top="0.75" bottom="0.75" header="0.3" footer="0.3"/>
  <pageSetup paperSize="9" orientation="portrait" horizontalDpi="200" verticalDpi="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BDD97-C346-453D-85C4-491DBEBCE1E4}">
  <sheetPr codeName="Sheet9"/>
  <dimension ref="A1:C51"/>
  <sheetViews>
    <sheetView zoomScaleNormal="100" workbookViewId="0">
      <selection sqref="A1:XFD1048576"/>
    </sheetView>
  </sheetViews>
  <sheetFormatPr defaultColWidth="9.109375" defaultRowHeight="13.8"/>
  <cols>
    <col min="1" max="1" width="150.5546875" style="9" customWidth="1"/>
    <col min="2" max="2" width="15.5546875" style="9" customWidth="1"/>
    <col min="3" max="16384" width="9.109375" style="9"/>
  </cols>
  <sheetData>
    <row r="1" spans="1:3" s="14" customFormat="1">
      <c r="A1" s="13" t="s">
        <v>421</v>
      </c>
      <c r="B1" s="13" t="s">
        <v>423</v>
      </c>
      <c r="C1" s="14" t="s">
        <v>424</v>
      </c>
    </row>
    <row r="2" spans="1:3" s="8" customFormat="1" ht="110.4">
      <c r="A2" s="27" t="s">
        <v>280</v>
      </c>
      <c r="B2" s="8" t="s">
        <v>63</v>
      </c>
      <c r="C2" s="8" t="s">
        <v>430</v>
      </c>
    </row>
    <row r="3" spans="1:3" s="8" customFormat="1" ht="124.2">
      <c r="A3" s="28" t="s">
        <v>279</v>
      </c>
      <c r="B3" s="8" t="s">
        <v>59</v>
      </c>
      <c r="C3" s="8" t="s">
        <v>430</v>
      </c>
    </row>
    <row r="4" spans="1:3" s="8" customFormat="1" ht="193.2">
      <c r="A4" s="28" t="s">
        <v>278</v>
      </c>
      <c r="B4" s="8" t="s">
        <v>61</v>
      </c>
      <c r="C4" s="8" t="s">
        <v>430</v>
      </c>
    </row>
    <row r="5" spans="1:3" s="8" customFormat="1" ht="69">
      <c r="A5" s="28" t="s">
        <v>277</v>
      </c>
      <c r="B5" s="8" t="s">
        <v>63</v>
      </c>
      <c r="C5" s="8" t="s">
        <v>430</v>
      </c>
    </row>
    <row r="6" spans="1:3" s="8" customFormat="1" ht="151.80000000000001">
      <c r="A6" s="28" t="s">
        <v>276</v>
      </c>
      <c r="B6" s="8" t="s">
        <v>55</v>
      </c>
      <c r="C6" s="8" t="s">
        <v>430</v>
      </c>
    </row>
    <row r="7" spans="1:3" s="8" customFormat="1" ht="82.8">
      <c r="A7" s="28" t="s">
        <v>275</v>
      </c>
      <c r="B7" s="8" t="s">
        <v>59</v>
      </c>
      <c r="C7" s="8" t="s">
        <v>430</v>
      </c>
    </row>
    <row r="8" spans="1:3" s="8" customFormat="1" ht="193.2">
      <c r="A8" s="28" t="s">
        <v>274</v>
      </c>
      <c r="B8" s="8" t="s">
        <v>59</v>
      </c>
      <c r="C8" s="8" t="s">
        <v>430</v>
      </c>
    </row>
    <row r="9" spans="1:3" s="8" customFormat="1" ht="41.4">
      <c r="A9" s="28" t="s">
        <v>273</v>
      </c>
      <c r="B9" s="8" t="s">
        <v>53</v>
      </c>
      <c r="C9" s="8" t="s">
        <v>430</v>
      </c>
    </row>
    <row r="10" spans="1:3" s="8" customFormat="1" ht="179.4">
      <c r="A10" s="28" t="s">
        <v>272</v>
      </c>
      <c r="B10" s="8" t="s">
        <v>59</v>
      </c>
      <c r="C10" s="8" t="s">
        <v>430</v>
      </c>
    </row>
    <row r="11" spans="1:3" s="8" customFormat="1" ht="151.80000000000001">
      <c r="A11" s="28" t="s">
        <v>271</v>
      </c>
      <c r="B11" s="8" t="s">
        <v>59</v>
      </c>
      <c r="C11" s="8" t="s">
        <v>430</v>
      </c>
    </row>
    <row r="12" spans="1:3" s="8" customFormat="1" ht="27.6">
      <c r="A12" s="28" t="s">
        <v>270</v>
      </c>
      <c r="B12" s="8" t="s">
        <v>58</v>
      </c>
      <c r="C12" s="8" t="s">
        <v>430</v>
      </c>
    </row>
    <row r="13" spans="1:3" s="8" customFormat="1" ht="110.4">
      <c r="A13" s="28" t="s">
        <v>269</v>
      </c>
      <c r="B13" s="8" t="s">
        <v>62</v>
      </c>
      <c r="C13" s="8" t="s">
        <v>430</v>
      </c>
    </row>
    <row r="14" spans="1:3" s="8" customFormat="1" ht="110.4">
      <c r="A14" s="28" t="s">
        <v>268</v>
      </c>
      <c r="B14" s="8" t="s">
        <v>61</v>
      </c>
      <c r="C14" s="8" t="s">
        <v>430</v>
      </c>
    </row>
    <row r="15" spans="1:3" s="8" customFormat="1" ht="165.6">
      <c r="A15" s="28" t="s">
        <v>267</v>
      </c>
      <c r="B15" s="8" t="s">
        <v>58</v>
      </c>
      <c r="C15" s="8" t="s">
        <v>430</v>
      </c>
    </row>
    <row r="16" spans="1:3" s="8" customFormat="1" ht="82.8">
      <c r="A16" s="28" t="s">
        <v>266</v>
      </c>
      <c r="B16" s="8" t="s">
        <v>58</v>
      </c>
      <c r="C16" s="8" t="s">
        <v>430</v>
      </c>
    </row>
    <row r="17" spans="1:3" s="8" customFormat="1" ht="41.4">
      <c r="A17" s="28" t="s">
        <v>265</v>
      </c>
      <c r="B17" s="8" t="s">
        <v>58</v>
      </c>
      <c r="C17" s="8" t="s">
        <v>430</v>
      </c>
    </row>
    <row r="18" spans="1:3" s="8" customFormat="1" ht="55.2">
      <c r="A18" s="28" t="s">
        <v>264</v>
      </c>
      <c r="B18" s="8" t="s">
        <v>58</v>
      </c>
      <c r="C18" s="8" t="s">
        <v>430</v>
      </c>
    </row>
    <row r="19" spans="1:3" s="8" customFormat="1" ht="27.6">
      <c r="A19" s="28" t="s">
        <v>263</v>
      </c>
      <c r="B19" s="8" t="s">
        <v>55</v>
      </c>
      <c r="C19" s="8" t="s">
        <v>430</v>
      </c>
    </row>
    <row r="20" spans="1:3" s="8" customFormat="1" ht="27.6">
      <c r="A20" s="28" t="s">
        <v>262</v>
      </c>
      <c r="B20" s="8" t="s">
        <v>49</v>
      </c>
      <c r="C20" s="8" t="s">
        <v>430</v>
      </c>
    </row>
    <row r="21" spans="1:3" s="8" customFormat="1" ht="55.2">
      <c r="A21" s="28" t="s">
        <v>261</v>
      </c>
      <c r="B21" s="8" t="s">
        <v>55</v>
      </c>
      <c r="C21" s="8" t="s">
        <v>430</v>
      </c>
    </row>
    <row r="22" spans="1:3" s="8" customFormat="1" ht="220.8">
      <c r="A22" s="28" t="s">
        <v>260</v>
      </c>
      <c r="B22" s="8" t="s">
        <v>56</v>
      </c>
      <c r="C22" s="8" t="s">
        <v>430</v>
      </c>
    </row>
    <row r="23" spans="1:3" s="8" customFormat="1" ht="41.4">
      <c r="A23" s="28" t="s">
        <v>259</v>
      </c>
      <c r="B23" s="8" t="s">
        <v>55</v>
      </c>
      <c r="C23" s="8" t="s">
        <v>430</v>
      </c>
    </row>
    <row r="24" spans="1:3" s="8" customFormat="1" ht="82.8">
      <c r="A24" s="28" t="s">
        <v>258</v>
      </c>
      <c r="B24" s="8" t="s">
        <v>49</v>
      </c>
      <c r="C24" s="8" t="s">
        <v>430</v>
      </c>
    </row>
    <row r="25" spans="1:3" s="8" customFormat="1" ht="69">
      <c r="A25" s="28" t="s">
        <v>257</v>
      </c>
      <c r="B25" s="8" t="s">
        <v>62</v>
      </c>
      <c r="C25" s="8" t="s">
        <v>430</v>
      </c>
    </row>
    <row r="26" spans="1:3" s="8" customFormat="1" ht="110.4">
      <c r="A26" s="28" t="s">
        <v>256</v>
      </c>
      <c r="B26" s="8" t="s">
        <v>56</v>
      </c>
      <c r="C26" s="8" t="s">
        <v>430</v>
      </c>
    </row>
    <row r="27" spans="1:3" s="8" customFormat="1" ht="41.4">
      <c r="A27" s="28" t="s">
        <v>255</v>
      </c>
      <c r="B27" s="8" t="s">
        <v>56</v>
      </c>
      <c r="C27" s="8" t="s">
        <v>430</v>
      </c>
    </row>
    <row r="28" spans="1:3" s="8" customFormat="1" ht="55.2">
      <c r="A28" s="28" t="s">
        <v>254</v>
      </c>
      <c r="B28" s="8" t="s">
        <v>62</v>
      </c>
      <c r="C28" s="8" t="s">
        <v>430</v>
      </c>
    </row>
    <row r="29" spans="1:3" s="8" customFormat="1" ht="179.4">
      <c r="A29" s="28" t="s">
        <v>253</v>
      </c>
      <c r="B29" s="8" t="s">
        <v>131</v>
      </c>
      <c r="C29" s="8" t="s">
        <v>430</v>
      </c>
    </row>
    <row r="30" spans="1:3" s="8" customFormat="1" ht="124.2">
      <c r="A30" s="28" t="s">
        <v>252</v>
      </c>
      <c r="B30" s="8" t="s">
        <v>56</v>
      </c>
      <c r="C30" s="8" t="s">
        <v>430</v>
      </c>
    </row>
    <row r="31" spans="1:3" s="8" customFormat="1" ht="124.2">
      <c r="A31" s="28" t="s">
        <v>251</v>
      </c>
      <c r="B31" s="8" t="s">
        <v>49</v>
      </c>
      <c r="C31" s="8" t="s">
        <v>430</v>
      </c>
    </row>
    <row r="32" spans="1:3" s="8" customFormat="1" ht="27.6">
      <c r="A32" s="28" t="s">
        <v>250</v>
      </c>
      <c r="B32" s="8" t="s">
        <v>63</v>
      </c>
      <c r="C32" s="8" t="s">
        <v>430</v>
      </c>
    </row>
    <row r="33" spans="1:3" s="8" customFormat="1" ht="55.2">
      <c r="A33" s="28" t="s">
        <v>249</v>
      </c>
      <c r="B33" s="8" t="s">
        <v>60</v>
      </c>
      <c r="C33" s="8" t="s">
        <v>430</v>
      </c>
    </row>
    <row r="34" spans="1:3" s="8" customFormat="1" ht="55.2">
      <c r="A34" s="28" t="s">
        <v>248</v>
      </c>
      <c r="B34" s="8" t="s">
        <v>52</v>
      </c>
      <c r="C34" s="8" t="s">
        <v>430</v>
      </c>
    </row>
    <row r="35" spans="1:3" s="8" customFormat="1" ht="124.2">
      <c r="A35" s="28" t="s">
        <v>247</v>
      </c>
      <c r="B35" s="8" t="s">
        <v>56</v>
      </c>
      <c r="C35" s="8" t="s">
        <v>430</v>
      </c>
    </row>
    <row r="36" spans="1:3" s="8" customFormat="1" ht="138">
      <c r="A36" s="28" t="s">
        <v>246</v>
      </c>
      <c r="B36" s="8" t="s">
        <v>51</v>
      </c>
      <c r="C36" s="8" t="s">
        <v>430</v>
      </c>
    </row>
    <row r="37" spans="1:3" s="8" customFormat="1" ht="55.2">
      <c r="A37" s="28" t="s">
        <v>245</v>
      </c>
      <c r="B37" s="8" t="s">
        <v>60</v>
      </c>
      <c r="C37" s="8" t="s">
        <v>430</v>
      </c>
    </row>
    <row r="38" spans="1:3" s="8" customFormat="1">
      <c r="A38" s="28" t="s">
        <v>244</v>
      </c>
      <c r="B38" s="8" t="s">
        <v>58</v>
      </c>
      <c r="C38" s="8" t="s">
        <v>430</v>
      </c>
    </row>
    <row r="39" spans="1:3" s="8" customFormat="1" ht="69">
      <c r="A39" s="28" t="s">
        <v>243</v>
      </c>
      <c r="B39" s="8" t="s">
        <v>51</v>
      </c>
      <c r="C39" s="8" t="s">
        <v>430</v>
      </c>
    </row>
    <row r="40" spans="1:3" s="8" customFormat="1" ht="55.2">
      <c r="A40" s="28" t="s">
        <v>242</v>
      </c>
      <c r="B40" s="8" t="s">
        <v>155</v>
      </c>
      <c r="C40" s="8" t="s">
        <v>430</v>
      </c>
    </row>
    <row r="41" spans="1:3" s="8" customFormat="1" ht="41.4">
      <c r="A41" s="28" t="s">
        <v>241</v>
      </c>
      <c r="B41" s="8" t="s">
        <v>54</v>
      </c>
      <c r="C41" s="8" t="s">
        <v>430</v>
      </c>
    </row>
    <row r="42" spans="1:3" s="8" customFormat="1" ht="41.4">
      <c r="A42" s="28" t="s">
        <v>240</v>
      </c>
      <c r="B42" s="8" t="s">
        <v>52</v>
      </c>
      <c r="C42" s="8" t="s">
        <v>430</v>
      </c>
    </row>
    <row r="43" spans="1:3" s="8" customFormat="1" ht="82.8">
      <c r="A43" s="28" t="s">
        <v>239</v>
      </c>
      <c r="B43" s="8" t="s">
        <v>49</v>
      </c>
      <c r="C43" s="8" t="s">
        <v>430</v>
      </c>
    </row>
    <row r="44" spans="1:3" s="8" customFormat="1">
      <c r="A44" s="28" t="s">
        <v>238</v>
      </c>
      <c r="B44" s="8" t="s">
        <v>56</v>
      </c>
      <c r="C44" s="8" t="s">
        <v>430</v>
      </c>
    </row>
    <row r="45" spans="1:3" s="8" customFormat="1" ht="165.6">
      <c r="A45" s="28" t="s">
        <v>237</v>
      </c>
      <c r="B45" s="8" t="s">
        <v>50</v>
      </c>
      <c r="C45" s="8" t="s">
        <v>430</v>
      </c>
    </row>
    <row r="46" spans="1:3" s="8" customFormat="1" ht="55.2">
      <c r="A46" s="28" t="s">
        <v>236</v>
      </c>
      <c r="B46" s="8" t="s">
        <v>131</v>
      </c>
      <c r="C46" s="8" t="s">
        <v>430</v>
      </c>
    </row>
    <row r="47" spans="1:3" s="8" customFormat="1" ht="193.2">
      <c r="A47" s="28" t="s">
        <v>235</v>
      </c>
      <c r="B47" s="8" t="s">
        <v>51</v>
      </c>
      <c r="C47" s="8" t="s">
        <v>430</v>
      </c>
    </row>
    <row r="48" spans="1:3" s="8" customFormat="1" ht="165.6">
      <c r="A48" s="28" t="s">
        <v>234</v>
      </c>
      <c r="B48" s="8" t="s">
        <v>49</v>
      </c>
      <c r="C48" s="8" t="s">
        <v>430</v>
      </c>
    </row>
    <row r="49" spans="1:3" s="8" customFormat="1" ht="82.8">
      <c r="A49" s="28" t="s">
        <v>233</v>
      </c>
      <c r="B49" s="8" t="s">
        <v>49</v>
      </c>
      <c r="C49" s="8" t="s">
        <v>430</v>
      </c>
    </row>
    <row r="50" spans="1:3" s="8" customFormat="1" ht="96.6">
      <c r="A50" s="28" t="s">
        <v>232</v>
      </c>
      <c r="B50" s="8" t="s">
        <v>49</v>
      </c>
      <c r="C50" s="8" t="s">
        <v>430</v>
      </c>
    </row>
    <row r="51" spans="1:3" s="8" customFormat="1" ht="55.2">
      <c r="A51" s="28" t="s">
        <v>231</v>
      </c>
      <c r="B51" s="8" t="s">
        <v>49</v>
      </c>
      <c r="C51" s="8" t="s">
        <v>430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B931D-A836-410B-ABB7-93A9E7FE85C0}">
  <sheetPr codeName="Sheet10"/>
  <dimension ref="A1:C51"/>
  <sheetViews>
    <sheetView workbookViewId="0">
      <selection sqref="A1:XFD1048576"/>
    </sheetView>
  </sheetViews>
  <sheetFormatPr defaultColWidth="9.109375" defaultRowHeight="13.8"/>
  <cols>
    <col min="1" max="1" width="150.5546875" style="11" customWidth="1"/>
    <col min="2" max="2" width="15.5546875" style="11" customWidth="1"/>
    <col min="3" max="16384" width="9.109375" style="10"/>
  </cols>
  <sheetData>
    <row r="1" spans="1:3" s="14" customFormat="1">
      <c r="A1" s="13" t="s">
        <v>421</v>
      </c>
      <c r="B1" s="13" t="s">
        <v>423</v>
      </c>
      <c r="C1" s="14" t="s">
        <v>424</v>
      </c>
    </row>
    <row r="2" spans="1:3" s="27" customFormat="1" ht="69">
      <c r="A2" s="29" t="s">
        <v>331</v>
      </c>
      <c r="B2" s="29" t="s">
        <v>330</v>
      </c>
      <c r="C2" s="27" t="s">
        <v>431</v>
      </c>
    </row>
    <row r="3" spans="1:3" s="27" customFormat="1" ht="27.6">
      <c r="A3" s="29" t="s">
        <v>329</v>
      </c>
      <c r="B3" s="29" t="s">
        <v>58</v>
      </c>
      <c r="C3" s="27" t="s">
        <v>431</v>
      </c>
    </row>
    <row r="4" spans="1:3" s="27" customFormat="1" ht="124.2">
      <c r="A4" s="29" t="s">
        <v>328</v>
      </c>
      <c r="B4" s="29" t="s">
        <v>63</v>
      </c>
      <c r="C4" s="27" t="s">
        <v>431</v>
      </c>
    </row>
    <row r="5" spans="1:3" s="27" customFormat="1" ht="82.8">
      <c r="A5" s="29" t="s">
        <v>327</v>
      </c>
      <c r="B5" s="29" t="s">
        <v>59</v>
      </c>
      <c r="C5" s="27" t="s">
        <v>431</v>
      </c>
    </row>
    <row r="6" spans="1:3" s="27" customFormat="1" ht="69">
      <c r="A6" s="29" t="s">
        <v>326</v>
      </c>
      <c r="B6" s="29" t="s">
        <v>49</v>
      </c>
      <c r="C6" s="27" t="s">
        <v>431</v>
      </c>
    </row>
    <row r="7" spans="1:3" s="27" customFormat="1" ht="69">
      <c r="A7" s="29" t="s">
        <v>325</v>
      </c>
      <c r="B7" s="29" t="s">
        <v>65</v>
      </c>
      <c r="C7" s="27" t="s">
        <v>431</v>
      </c>
    </row>
    <row r="8" spans="1:3" s="27" customFormat="1" ht="69">
      <c r="A8" s="29" t="s">
        <v>324</v>
      </c>
      <c r="B8" s="29" t="s">
        <v>63</v>
      </c>
      <c r="C8" s="27" t="s">
        <v>431</v>
      </c>
    </row>
    <row r="9" spans="1:3" s="27" customFormat="1" ht="55.2">
      <c r="A9" s="29" t="s">
        <v>323</v>
      </c>
      <c r="B9" s="29" t="s">
        <v>62</v>
      </c>
      <c r="C9" s="27" t="s">
        <v>431</v>
      </c>
    </row>
    <row r="10" spans="1:3" s="27" customFormat="1" ht="69">
      <c r="A10" s="29" t="s">
        <v>322</v>
      </c>
      <c r="B10" s="29" t="s">
        <v>55</v>
      </c>
      <c r="C10" s="27" t="s">
        <v>431</v>
      </c>
    </row>
    <row r="11" spans="1:3" s="27" customFormat="1" ht="55.2">
      <c r="A11" s="29" t="s">
        <v>321</v>
      </c>
      <c r="B11" s="29" t="s">
        <v>59</v>
      </c>
      <c r="C11" s="27" t="s">
        <v>431</v>
      </c>
    </row>
    <row r="12" spans="1:3" s="27" customFormat="1" ht="69">
      <c r="A12" s="29" t="s">
        <v>320</v>
      </c>
      <c r="B12" s="29" t="s">
        <v>59</v>
      </c>
      <c r="C12" s="27" t="s">
        <v>431</v>
      </c>
    </row>
    <row r="13" spans="1:3" s="27" customFormat="1" ht="41.4">
      <c r="A13" s="29" t="s">
        <v>319</v>
      </c>
      <c r="B13" s="29" t="s">
        <v>59</v>
      </c>
      <c r="C13" s="27" t="s">
        <v>431</v>
      </c>
    </row>
    <row r="14" spans="1:3" s="27" customFormat="1" ht="138">
      <c r="A14" s="29" t="s">
        <v>318</v>
      </c>
      <c r="B14" s="29" t="s">
        <v>61</v>
      </c>
      <c r="C14" s="27" t="s">
        <v>431</v>
      </c>
    </row>
    <row r="15" spans="1:3" s="27" customFormat="1" ht="41.4">
      <c r="A15" s="29" t="s">
        <v>317</v>
      </c>
      <c r="B15" s="29" t="s">
        <v>58</v>
      </c>
      <c r="C15" s="27" t="s">
        <v>431</v>
      </c>
    </row>
    <row r="16" spans="1:3" s="27" customFormat="1" ht="41.4">
      <c r="A16" s="29" t="s">
        <v>316</v>
      </c>
      <c r="B16" s="29" t="s">
        <v>58</v>
      </c>
      <c r="C16" s="27" t="s">
        <v>431</v>
      </c>
    </row>
    <row r="17" spans="1:3" s="27" customFormat="1" ht="165.6">
      <c r="A17" s="29" t="s">
        <v>315</v>
      </c>
      <c r="B17" s="29" t="s">
        <v>61</v>
      </c>
      <c r="C17" s="27" t="s">
        <v>431</v>
      </c>
    </row>
    <row r="18" spans="1:3" s="27" customFormat="1" ht="41.4">
      <c r="A18" s="29" t="s">
        <v>314</v>
      </c>
      <c r="B18" s="29" t="s">
        <v>61</v>
      </c>
      <c r="C18" s="27" t="s">
        <v>431</v>
      </c>
    </row>
    <row r="19" spans="1:3" s="27" customFormat="1" ht="41.4">
      <c r="A19" s="29" t="s">
        <v>313</v>
      </c>
      <c r="B19" s="29" t="s">
        <v>55</v>
      </c>
      <c r="C19" s="27" t="s">
        <v>431</v>
      </c>
    </row>
    <row r="20" spans="1:3" s="27" customFormat="1" ht="27.6">
      <c r="A20" s="29" t="s">
        <v>312</v>
      </c>
      <c r="B20" s="29" t="s">
        <v>49</v>
      </c>
      <c r="C20" s="27" t="s">
        <v>431</v>
      </c>
    </row>
    <row r="21" spans="1:3" s="27" customFormat="1" ht="27.6">
      <c r="A21" s="29" t="s">
        <v>311</v>
      </c>
      <c r="B21" s="29" t="s">
        <v>61</v>
      </c>
      <c r="C21" s="27" t="s">
        <v>431</v>
      </c>
    </row>
    <row r="22" spans="1:3" s="27" customFormat="1" ht="55.2">
      <c r="A22" s="29" t="s">
        <v>310</v>
      </c>
      <c r="B22" s="29" t="s">
        <v>60</v>
      </c>
      <c r="C22" s="27" t="s">
        <v>431</v>
      </c>
    </row>
    <row r="23" spans="1:3" s="27" customFormat="1" ht="124.2">
      <c r="A23" s="29" t="s">
        <v>309</v>
      </c>
      <c r="B23" s="29" t="s">
        <v>54</v>
      </c>
      <c r="C23" s="27" t="s">
        <v>431</v>
      </c>
    </row>
    <row r="24" spans="1:3" s="27" customFormat="1" ht="55.2">
      <c r="A24" s="29" t="s">
        <v>308</v>
      </c>
      <c r="B24" s="29" t="s">
        <v>49</v>
      </c>
      <c r="C24" s="27" t="s">
        <v>431</v>
      </c>
    </row>
    <row r="25" spans="1:3" s="27" customFormat="1" ht="55.2">
      <c r="A25" s="29" t="s">
        <v>307</v>
      </c>
      <c r="B25" s="29" t="s">
        <v>49</v>
      </c>
      <c r="C25" s="27" t="s">
        <v>431</v>
      </c>
    </row>
    <row r="26" spans="1:3" s="27" customFormat="1" ht="27.6">
      <c r="A26" s="29" t="s">
        <v>306</v>
      </c>
      <c r="B26" s="29" t="s">
        <v>60</v>
      </c>
      <c r="C26" s="27" t="s">
        <v>431</v>
      </c>
    </row>
    <row r="27" spans="1:3" s="27" customFormat="1">
      <c r="A27" s="29" t="s">
        <v>305</v>
      </c>
      <c r="B27" s="29" t="s">
        <v>59</v>
      </c>
      <c r="C27" s="27" t="s">
        <v>431</v>
      </c>
    </row>
    <row r="28" spans="1:3" s="27" customFormat="1" ht="82.8">
      <c r="A28" s="29" t="s">
        <v>304</v>
      </c>
      <c r="B28" s="29" t="s">
        <v>60</v>
      </c>
      <c r="C28" s="27" t="s">
        <v>431</v>
      </c>
    </row>
    <row r="29" spans="1:3" s="27" customFormat="1" ht="82.8">
      <c r="A29" s="29" t="s">
        <v>303</v>
      </c>
      <c r="B29" s="29" t="s">
        <v>56</v>
      </c>
      <c r="C29" s="27" t="s">
        <v>431</v>
      </c>
    </row>
    <row r="30" spans="1:3" s="27" customFormat="1" ht="41.4">
      <c r="A30" s="29" t="s">
        <v>302</v>
      </c>
      <c r="B30" s="29" t="s">
        <v>56</v>
      </c>
      <c r="C30" s="27" t="s">
        <v>431</v>
      </c>
    </row>
    <row r="31" spans="1:3" s="27" customFormat="1" ht="41.4">
      <c r="A31" s="29" t="s">
        <v>301</v>
      </c>
      <c r="B31" s="29" t="s">
        <v>53</v>
      </c>
      <c r="C31" s="27" t="s">
        <v>431</v>
      </c>
    </row>
    <row r="32" spans="1:3" s="27" customFormat="1" ht="27.6">
      <c r="A32" s="29" t="s">
        <v>300</v>
      </c>
      <c r="B32" s="29" t="s">
        <v>60</v>
      </c>
      <c r="C32" s="27" t="s">
        <v>431</v>
      </c>
    </row>
    <row r="33" spans="1:3" s="27" customFormat="1" ht="27.6">
      <c r="A33" s="29" t="s">
        <v>299</v>
      </c>
      <c r="B33" s="29" t="s">
        <v>60</v>
      </c>
      <c r="C33" s="27" t="s">
        <v>431</v>
      </c>
    </row>
    <row r="34" spans="1:3" s="27" customFormat="1" ht="27.6">
      <c r="A34" s="29" t="s">
        <v>298</v>
      </c>
      <c r="B34" s="29" t="s">
        <v>55</v>
      </c>
      <c r="C34" s="27" t="s">
        <v>431</v>
      </c>
    </row>
    <row r="35" spans="1:3" s="27" customFormat="1">
      <c r="A35" s="29" t="s">
        <v>297</v>
      </c>
      <c r="B35" s="29" t="s">
        <v>56</v>
      </c>
      <c r="C35" s="27" t="s">
        <v>431</v>
      </c>
    </row>
    <row r="36" spans="1:3" s="27" customFormat="1" ht="69">
      <c r="A36" s="29" t="s">
        <v>296</v>
      </c>
      <c r="B36" s="29" t="s">
        <v>49</v>
      </c>
      <c r="C36" s="27" t="s">
        <v>431</v>
      </c>
    </row>
    <row r="37" spans="1:3" s="27" customFormat="1" ht="27.6">
      <c r="A37" s="29" t="s">
        <v>295</v>
      </c>
      <c r="B37" s="29" t="s">
        <v>59</v>
      </c>
      <c r="C37" s="27" t="s">
        <v>431</v>
      </c>
    </row>
    <row r="38" spans="1:3" s="27" customFormat="1" ht="27.6">
      <c r="A38" s="29" t="s">
        <v>294</v>
      </c>
      <c r="B38" s="29" t="s">
        <v>49</v>
      </c>
      <c r="C38" s="27" t="s">
        <v>431</v>
      </c>
    </row>
    <row r="39" spans="1:3" s="27" customFormat="1" ht="27.6">
      <c r="A39" s="29" t="s">
        <v>293</v>
      </c>
      <c r="B39" s="29" t="s">
        <v>55</v>
      </c>
      <c r="C39" s="27" t="s">
        <v>431</v>
      </c>
    </row>
    <row r="40" spans="1:3" s="27" customFormat="1" ht="69">
      <c r="A40" s="29" t="s">
        <v>292</v>
      </c>
      <c r="B40" s="29" t="s">
        <v>140</v>
      </c>
      <c r="C40" s="27" t="s">
        <v>431</v>
      </c>
    </row>
    <row r="41" spans="1:3" s="27" customFormat="1">
      <c r="A41" s="29" t="s">
        <v>291</v>
      </c>
      <c r="B41" s="29" t="s">
        <v>49</v>
      </c>
      <c r="C41" s="27" t="s">
        <v>431</v>
      </c>
    </row>
    <row r="42" spans="1:3" s="27" customFormat="1" ht="27.6">
      <c r="A42" s="29" t="s">
        <v>290</v>
      </c>
      <c r="B42" s="29" t="s">
        <v>60</v>
      </c>
      <c r="C42" s="27" t="s">
        <v>431</v>
      </c>
    </row>
    <row r="43" spans="1:3" s="27" customFormat="1" ht="27.6">
      <c r="A43" s="29" t="s">
        <v>289</v>
      </c>
      <c r="B43" s="29" t="s">
        <v>60</v>
      </c>
      <c r="C43" s="27" t="s">
        <v>431</v>
      </c>
    </row>
    <row r="44" spans="1:3" s="27" customFormat="1">
      <c r="A44" s="29" t="s">
        <v>288</v>
      </c>
      <c r="B44" s="29" t="s">
        <v>60</v>
      </c>
      <c r="C44" s="27" t="s">
        <v>431</v>
      </c>
    </row>
    <row r="45" spans="1:3" s="27" customFormat="1" ht="55.2">
      <c r="A45" s="29" t="s">
        <v>287</v>
      </c>
      <c r="B45" s="29" t="s">
        <v>50</v>
      </c>
      <c r="C45" s="27" t="s">
        <v>431</v>
      </c>
    </row>
    <row r="46" spans="1:3" s="27" customFormat="1" ht="27.6">
      <c r="A46" s="29" t="s">
        <v>286</v>
      </c>
      <c r="B46" s="29" t="s">
        <v>131</v>
      </c>
      <c r="C46" s="27" t="s">
        <v>431</v>
      </c>
    </row>
    <row r="47" spans="1:3" s="27" customFormat="1" ht="27.6">
      <c r="A47" s="29" t="s">
        <v>285</v>
      </c>
      <c r="B47" s="29" t="s">
        <v>61</v>
      </c>
      <c r="C47" s="27" t="s">
        <v>431</v>
      </c>
    </row>
    <row r="48" spans="1:3" s="27" customFormat="1">
      <c r="A48" s="29" t="s">
        <v>284</v>
      </c>
      <c r="B48" s="29" t="s">
        <v>63</v>
      </c>
      <c r="C48" s="27" t="s">
        <v>431</v>
      </c>
    </row>
    <row r="49" spans="1:3" s="27" customFormat="1">
      <c r="A49" s="29" t="s">
        <v>283</v>
      </c>
      <c r="B49" s="29" t="s">
        <v>52</v>
      </c>
      <c r="C49" s="27" t="s">
        <v>431</v>
      </c>
    </row>
    <row r="50" spans="1:3" s="27" customFormat="1" ht="27.6">
      <c r="A50" s="29" t="s">
        <v>282</v>
      </c>
      <c r="B50" s="29" t="s">
        <v>60</v>
      </c>
      <c r="C50" s="27" t="s">
        <v>431</v>
      </c>
    </row>
    <row r="51" spans="1:3" s="27" customFormat="1" ht="69">
      <c r="A51" s="29" t="s">
        <v>281</v>
      </c>
      <c r="B51" s="29" t="s">
        <v>49</v>
      </c>
      <c r="C51" s="27" t="s">
        <v>431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F4D63-50FE-4CFA-983C-577630133C6C}">
  <sheetPr codeName="Sheet11"/>
  <dimension ref="A1:C51"/>
  <sheetViews>
    <sheetView workbookViewId="0">
      <selection sqref="A1:XFD1048576"/>
    </sheetView>
  </sheetViews>
  <sheetFormatPr defaultColWidth="9.109375" defaultRowHeight="13.8"/>
  <cols>
    <col min="1" max="1" width="150.5546875" style="11" customWidth="1"/>
    <col min="2" max="2" width="15.5546875" style="11" customWidth="1"/>
    <col min="3" max="16384" width="9.109375" style="10"/>
  </cols>
  <sheetData>
    <row r="1" spans="1:3" s="14" customFormat="1">
      <c r="A1" s="13" t="s">
        <v>421</v>
      </c>
      <c r="B1" s="13" t="s">
        <v>423</v>
      </c>
      <c r="C1" s="14" t="s">
        <v>424</v>
      </c>
    </row>
    <row r="2" spans="1:3" s="27" customFormat="1" ht="27.6">
      <c r="A2" s="29" t="s">
        <v>366</v>
      </c>
      <c r="B2" s="29" t="s">
        <v>62</v>
      </c>
      <c r="C2" s="27" t="s">
        <v>432</v>
      </c>
    </row>
    <row r="3" spans="1:3" s="27" customFormat="1">
      <c r="A3" s="29" t="s">
        <v>365</v>
      </c>
      <c r="B3" s="29" t="s">
        <v>62</v>
      </c>
      <c r="C3" s="27" t="s">
        <v>432</v>
      </c>
    </row>
    <row r="4" spans="1:3" s="27" customFormat="1" ht="27.6">
      <c r="A4" s="29" t="s">
        <v>364</v>
      </c>
      <c r="B4" s="29" t="s">
        <v>55</v>
      </c>
      <c r="C4" s="27" t="s">
        <v>432</v>
      </c>
    </row>
    <row r="5" spans="1:3" s="27" customFormat="1" ht="55.2">
      <c r="A5" s="29" t="s">
        <v>437</v>
      </c>
      <c r="B5" s="29" t="s">
        <v>62</v>
      </c>
      <c r="C5" s="27" t="s">
        <v>432</v>
      </c>
    </row>
    <row r="6" spans="1:3" s="27" customFormat="1" ht="27.6">
      <c r="A6" s="29" t="s">
        <v>363</v>
      </c>
      <c r="B6" s="29" t="s">
        <v>63</v>
      </c>
      <c r="C6" s="27" t="s">
        <v>432</v>
      </c>
    </row>
    <row r="7" spans="1:3" s="27" customFormat="1" ht="41.4">
      <c r="A7" s="29" t="s">
        <v>438</v>
      </c>
      <c r="B7" s="29" t="s">
        <v>55</v>
      </c>
      <c r="C7" s="27" t="s">
        <v>432</v>
      </c>
    </row>
    <row r="8" spans="1:3" s="27" customFormat="1" ht="41.4">
      <c r="A8" s="29" t="s">
        <v>439</v>
      </c>
      <c r="B8" s="29" t="s">
        <v>60</v>
      </c>
      <c r="C8" s="27" t="s">
        <v>432</v>
      </c>
    </row>
    <row r="9" spans="1:3" s="27" customFormat="1" ht="55.2">
      <c r="A9" s="29" t="s">
        <v>440</v>
      </c>
      <c r="B9" s="29" t="s">
        <v>59</v>
      </c>
      <c r="C9" s="27" t="s">
        <v>432</v>
      </c>
    </row>
    <row r="10" spans="1:3" s="27" customFormat="1" ht="27.6">
      <c r="A10" s="29" t="s">
        <v>362</v>
      </c>
      <c r="B10" s="29" t="s">
        <v>62</v>
      </c>
      <c r="C10" s="27" t="s">
        <v>432</v>
      </c>
    </row>
    <row r="11" spans="1:3" s="27" customFormat="1">
      <c r="A11" s="29" t="s">
        <v>361</v>
      </c>
      <c r="B11" s="29" t="s">
        <v>49</v>
      </c>
      <c r="C11" s="27" t="s">
        <v>432</v>
      </c>
    </row>
    <row r="12" spans="1:3" s="27" customFormat="1" ht="27.6">
      <c r="A12" s="29" t="s">
        <v>360</v>
      </c>
      <c r="B12" s="29" t="s">
        <v>60</v>
      </c>
      <c r="C12" s="27" t="s">
        <v>432</v>
      </c>
    </row>
    <row r="13" spans="1:3" s="27" customFormat="1" ht="41.4">
      <c r="A13" s="29" t="s">
        <v>441</v>
      </c>
      <c r="B13" s="29" t="s">
        <v>61</v>
      </c>
      <c r="C13" s="27" t="s">
        <v>432</v>
      </c>
    </row>
    <row r="14" spans="1:3" s="27" customFormat="1" ht="41.4">
      <c r="A14" s="29" t="s">
        <v>442</v>
      </c>
      <c r="B14" s="29" t="s">
        <v>61</v>
      </c>
      <c r="C14" s="27" t="s">
        <v>432</v>
      </c>
    </row>
    <row r="15" spans="1:3" s="27" customFormat="1" ht="27.6">
      <c r="A15" s="29" t="s">
        <v>359</v>
      </c>
      <c r="B15" s="29" t="s">
        <v>54</v>
      </c>
      <c r="C15" s="27" t="s">
        <v>432</v>
      </c>
    </row>
    <row r="16" spans="1:3" s="27" customFormat="1">
      <c r="A16" s="29" t="s">
        <v>358</v>
      </c>
      <c r="B16" s="29" t="s">
        <v>51</v>
      </c>
      <c r="C16" s="27" t="s">
        <v>432</v>
      </c>
    </row>
    <row r="17" spans="1:3" s="27" customFormat="1" ht="27.6">
      <c r="A17" s="29" t="s">
        <v>443</v>
      </c>
      <c r="B17" s="29" t="s">
        <v>62</v>
      </c>
      <c r="C17" s="27" t="s">
        <v>432</v>
      </c>
    </row>
    <row r="18" spans="1:3" s="27" customFormat="1" ht="41.4">
      <c r="A18" s="29" t="s">
        <v>357</v>
      </c>
      <c r="B18" s="29" t="s">
        <v>54</v>
      </c>
      <c r="C18" s="27" t="s">
        <v>432</v>
      </c>
    </row>
    <row r="19" spans="1:3" s="27" customFormat="1" ht="27.6">
      <c r="A19" s="29" t="s">
        <v>444</v>
      </c>
      <c r="B19" s="29" t="s">
        <v>55</v>
      </c>
      <c r="C19" s="27" t="s">
        <v>432</v>
      </c>
    </row>
    <row r="20" spans="1:3" s="27" customFormat="1">
      <c r="A20" s="29" t="s">
        <v>356</v>
      </c>
      <c r="B20" s="29" t="s">
        <v>59</v>
      </c>
      <c r="C20" s="27" t="s">
        <v>432</v>
      </c>
    </row>
    <row r="21" spans="1:3" s="27" customFormat="1" ht="55.2">
      <c r="A21" s="29" t="s">
        <v>355</v>
      </c>
      <c r="B21" s="29" t="s">
        <v>54</v>
      </c>
      <c r="C21" s="27" t="s">
        <v>432</v>
      </c>
    </row>
    <row r="22" spans="1:3" s="27" customFormat="1" ht="55.2">
      <c r="A22" s="29" t="s">
        <v>445</v>
      </c>
      <c r="B22" s="29" t="s">
        <v>49</v>
      </c>
      <c r="C22" s="27" t="s">
        <v>432</v>
      </c>
    </row>
    <row r="23" spans="1:3" s="27" customFormat="1">
      <c r="A23" s="29" t="s">
        <v>354</v>
      </c>
      <c r="B23" s="29" t="s">
        <v>59</v>
      </c>
      <c r="C23" s="27" t="s">
        <v>432</v>
      </c>
    </row>
    <row r="24" spans="1:3" s="27" customFormat="1">
      <c r="A24" s="29" t="s">
        <v>353</v>
      </c>
      <c r="B24" s="29" t="s">
        <v>52</v>
      </c>
      <c r="C24" s="27" t="s">
        <v>432</v>
      </c>
    </row>
    <row r="25" spans="1:3" s="27" customFormat="1" ht="41.4">
      <c r="A25" s="29" t="s">
        <v>352</v>
      </c>
      <c r="B25" s="29" t="s">
        <v>51</v>
      </c>
      <c r="C25" s="27" t="s">
        <v>432</v>
      </c>
    </row>
    <row r="26" spans="1:3" s="27" customFormat="1" ht="27.6">
      <c r="A26" s="29" t="s">
        <v>446</v>
      </c>
      <c r="B26" s="29" t="s">
        <v>54</v>
      </c>
      <c r="C26" s="27" t="s">
        <v>432</v>
      </c>
    </row>
    <row r="27" spans="1:3" s="27" customFormat="1" ht="55.2">
      <c r="A27" s="29" t="s">
        <v>447</v>
      </c>
      <c r="B27" s="29" t="s">
        <v>50</v>
      </c>
      <c r="C27" s="27" t="s">
        <v>432</v>
      </c>
    </row>
    <row r="28" spans="1:3" s="27" customFormat="1" ht="27.6">
      <c r="A28" s="29" t="s">
        <v>351</v>
      </c>
      <c r="B28" s="29" t="s">
        <v>50</v>
      </c>
      <c r="C28" s="27" t="s">
        <v>432</v>
      </c>
    </row>
    <row r="29" spans="1:3" s="27" customFormat="1">
      <c r="A29" s="29" t="s">
        <v>350</v>
      </c>
      <c r="B29" s="29" t="s">
        <v>49</v>
      </c>
      <c r="C29" s="27" t="s">
        <v>432</v>
      </c>
    </row>
    <row r="30" spans="1:3" s="27" customFormat="1" ht="69">
      <c r="A30" s="29" t="s">
        <v>349</v>
      </c>
      <c r="B30" s="29" t="s">
        <v>49</v>
      </c>
      <c r="C30" s="27" t="s">
        <v>432</v>
      </c>
    </row>
    <row r="31" spans="1:3" s="27" customFormat="1" ht="55.2">
      <c r="A31" s="29" t="s">
        <v>448</v>
      </c>
      <c r="B31" s="29" t="s">
        <v>60</v>
      </c>
      <c r="C31" s="27" t="s">
        <v>432</v>
      </c>
    </row>
    <row r="32" spans="1:3" s="27" customFormat="1">
      <c r="A32" s="29" t="s">
        <v>348</v>
      </c>
      <c r="B32" s="29" t="s">
        <v>55</v>
      </c>
      <c r="C32" s="27" t="s">
        <v>432</v>
      </c>
    </row>
    <row r="33" spans="1:3" s="27" customFormat="1" ht="41.4">
      <c r="A33" s="29" t="s">
        <v>347</v>
      </c>
      <c r="B33" s="29" t="s">
        <v>49</v>
      </c>
      <c r="C33" s="27" t="s">
        <v>432</v>
      </c>
    </row>
    <row r="34" spans="1:3" s="27" customFormat="1" ht="69">
      <c r="A34" s="29" t="s">
        <v>346</v>
      </c>
      <c r="B34" s="29" t="s">
        <v>60</v>
      </c>
      <c r="C34" s="27" t="s">
        <v>432</v>
      </c>
    </row>
    <row r="35" spans="1:3" s="27" customFormat="1" ht="69">
      <c r="A35" s="29" t="s">
        <v>345</v>
      </c>
      <c r="B35" s="29" t="s">
        <v>54</v>
      </c>
      <c r="C35" s="27" t="s">
        <v>432</v>
      </c>
    </row>
    <row r="36" spans="1:3" s="27" customFormat="1" ht="82.8">
      <c r="A36" s="29" t="s">
        <v>344</v>
      </c>
      <c r="B36" s="29" t="s">
        <v>60</v>
      </c>
      <c r="C36" s="27" t="s">
        <v>432</v>
      </c>
    </row>
    <row r="37" spans="1:3" s="27" customFormat="1" ht="41.4">
      <c r="A37" s="29" t="s">
        <v>343</v>
      </c>
      <c r="B37" s="29" t="s">
        <v>54</v>
      </c>
      <c r="C37" s="27" t="s">
        <v>432</v>
      </c>
    </row>
    <row r="38" spans="1:3" s="27" customFormat="1" ht="27.6">
      <c r="A38" s="29" t="s">
        <v>342</v>
      </c>
      <c r="B38" s="29" t="s">
        <v>60</v>
      </c>
      <c r="C38" s="27" t="s">
        <v>432</v>
      </c>
    </row>
    <row r="39" spans="1:3" s="27" customFormat="1" ht="41.4">
      <c r="A39" s="29" t="s">
        <v>341</v>
      </c>
      <c r="B39" s="29" t="s">
        <v>54</v>
      </c>
      <c r="C39" s="27" t="s">
        <v>432</v>
      </c>
    </row>
    <row r="40" spans="1:3" s="27" customFormat="1" ht="27.6">
      <c r="A40" s="29" t="s">
        <v>449</v>
      </c>
      <c r="B40" s="29" t="s">
        <v>60</v>
      </c>
      <c r="C40" s="27" t="s">
        <v>432</v>
      </c>
    </row>
    <row r="41" spans="1:3" s="27" customFormat="1" ht="27.6">
      <c r="A41" s="29" t="s">
        <v>340</v>
      </c>
      <c r="B41" s="29" t="s">
        <v>49</v>
      </c>
      <c r="C41" s="27" t="s">
        <v>432</v>
      </c>
    </row>
    <row r="42" spans="1:3" s="27" customFormat="1" ht="41.4">
      <c r="A42" s="29" t="s">
        <v>339</v>
      </c>
      <c r="B42" s="29" t="s">
        <v>60</v>
      </c>
      <c r="C42" s="27" t="s">
        <v>432</v>
      </c>
    </row>
    <row r="43" spans="1:3" s="27" customFormat="1" ht="27.6">
      <c r="A43" s="29" t="s">
        <v>338</v>
      </c>
      <c r="B43" s="29" t="s">
        <v>155</v>
      </c>
      <c r="C43" s="27" t="s">
        <v>432</v>
      </c>
    </row>
    <row r="44" spans="1:3" s="27" customFormat="1" ht="27.6">
      <c r="A44" s="29" t="s">
        <v>450</v>
      </c>
      <c r="B44" s="29" t="s">
        <v>54</v>
      </c>
      <c r="C44" s="27" t="s">
        <v>432</v>
      </c>
    </row>
    <row r="45" spans="1:3" s="27" customFormat="1" ht="27.6">
      <c r="A45" s="29" t="s">
        <v>451</v>
      </c>
      <c r="B45" s="29" t="s">
        <v>60</v>
      </c>
      <c r="C45" s="27" t="s">
        <v>432</v>
      </c>
    </row>
    <row r="46" spans="1:3" s="27" customFormat="1" ht="27.6">
      <c r="A46" s="29" t="s">
        <v>337</v>
      </c>
      <c r="B46" s="29" t="s">
        <v>49</v>
      </c>
      <c r="C46" s="27" t="s">
        <v>432</v>
      </c>
    </row>
    <row r="47" spans="1:3" s="27" customFormat="1" ht="41.4">
      <c r="A47" s="29" t="s">
        <v>336</v>
      </c>
      <c r="B47" s="29" t="s">
        <v>54</v>
      </c>
      <c r="C47" s="27" t="s">
        <v>432</v>
      </c>
    </row>
    <row r="48" spans="1:3" s="27" customFormat="1" ht="41.4">
      <c r="A48" s="29" t="s">
        <v>335</v>
      </c>
      <c r="B48" s="29" t="s">
        <v>54</v>
      </c>
      <c r="C48" s="27" t="s">
        <v>432</v>
      </c>
    </row>
    <row r="49" spans="1:3" s="27" customFormat="1">
      <c r="A49" s="29" t="s">
        <v>334</v>
      </c>
      <c r="B49" s="29" t="s">
        <v>60</v>
      </c>
      <c r="C49" s="27" t="s">
        <v>432</v>
      </c>
    </row>
    <row r="50" spans="1:3" s="27" customFormat="1" ht="27.6">
      <c r="A50" s="29" t="s">
        <v>333</v>
      </c>
      <c r="B50" s="29" t="s">
        <v>131</v>
      </c>
      <c r="C50" s="27" t="s">
        <v>432</v>
      </c>
    </row>
    <row r="51" spans="1:3" s="27" customFormat="1" ht="27.6">
      <c r="A51" s="29" t="s">
        <v>332</v>
      </c>
      <c r="B51" s="29" t="s">
        <v>54</v>
      </c>
      <c r="C51" s="27" t="s">
        <v>432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Public_SA</vt:lpstr>
      <vt:lpstr>Private_SA</vt:lpstr>
      <vt:lpstr>Public_raw</vt:lpstr>
      <vt:lpstr>Private_raw</vt:lpstr>
      <vt:lpstr>Statistics</vt:lpstr>
      <vt:lpstr>SGH</vt:lpstr>
      <vt:lpstr>NUH</vt:lpstr>
      <vt:lpstr>TTSH</vt:lpstr>
      <vt:lpstr>CGH</vt:lpstr>
      <vt:lpstr>MEH</vt:lpstr>
      <vt:lpstr>MAH</vt:lpstr>
      <vt:lpstr>MENH</vt:lpstr>
      <vt:lpstr>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Exley Yun</dc:creator>
  <cp:lastModifiedBy>Exley Yun</cp:lastModifiedBy>
  <dcterms:created xsi:type="dcterms:W3CDTF">2026-04-03T14:26:20Z</dcterms:created>
  <dcterms:modified xsi:type="dcterms:W3CDTF">2026-04-12T12:21:12Z</dcterms:modified>
</cp:coreProperties>
</file>